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Capsule Sizing" sheetId="3" state="visible" r:id="rId5"/>
    <sheet name="Regular Finish – Top 3" sheetId="4" state="visible" r:id="rId6"/>
    <sheet name="Frosted Finish – Top 3" sheetId="5" state="visible" r:id="rId7"/>
    <sheet name="All Suppliers Screened" sheetId="6" state="visible" r:id="rId8"/>
    <sheet name="Next Steps &amp; Question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Source: Capsugel Coni-Snap / Torpac capsule size charts.</t>
        </r>
      </text>
    </comment>
    <comment ref="B7" authorId="0">
      <text>
        <r>
          <rPr>
            <sz val="10"/>
            <rFont val="Arial"/>
            <family val="2"/>
          </rPr>
          <t xml:space="preserve">Source: Capsugel Coni-Snap / Torpac capsule size charts.</t>
        </r>
      </text>
    </comment>
    <comment ref="C6" authorId="0">
      <text>
        <r>
          <rPr>
            <sz val="10"/>
            <rFont val="Arial"/>
            <family val="2"/>
          </rPr>
          <t xml:space="preserve">Source: Capsugel Coni-Snap / Torpac capsule size charts.</t>
        </r>
      </text>
    </comment>
    <comment ref="C7" authorId="0">
      <text>
        <r>
          <rPr>
            <sz val="10"/>
            <rFont val="Arial"/>
            <family val="2"/>
          </rPr>
          <t xml:space="preserve">Source: Capsugel Coni-Snap / Torpac capsule size charts.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7" authorId="0">
      <text>
        <r>
          <rPr>
            <sz val="10"/>
            <rFont val="Arial"/>
            <family val="2"/>
          </rPr>
          <t xml:space="preserve">$11.45/cs at 50–299 cases (base $13.33). burchbottle.com/4oz-Amber-Straight-Sided-Jar-58-400</t>
        </r>
      </text>
    </comment>
    <comment ref="G8" authorId="0">
      <text>
        <r>
          <rPr>
            <sz val="10"/>
            <rFont val="Arial"/>
            <family val="2"/>
          </rPr>
          <t xml:space="preserve">$6.07/cs at 67–479 cases (base $7.38). burchbottle.com/6oz-Amber-Straight-Sided-Jar-63-400</t>
        </r>
      </text>
    </comment>
    <comment ref="G9" authorId="0">
      <text>
        <r>
          <rPr>
            <sz val="10"/>
            <rFont val="Arial"/>
            <family val="2"/>
          </rPr>
          <t xml:space="preserve">$5.24/cs at 40–175 cases (base $5.95). Page header inconsistently says 'clear'. Confirm amber colour + colour match with 4/6 oz (different glassworks suffix).</t>
        </r>
      </text>
    </comment>
    <comment ref="G16" authorId="0">
      <text>
        <r>
          <rPr>
            <sz val="10"/>
            <rFont val="Arial"/>
            <family val="2"/>
          </rPr>
          <t xml:space="preserve">$12.15/cs at 48–155 cases (base $13.85).</t>
        </r>
      </text>
    </comment>
    <comment ref="G17" authorId="0">
      <text>
        <r>
          <rPr>
            <sz val="10"/>
            <rFont val="Arial"/>
            <family val="2"/>
          </rPr>
          <t xml:space="preserve">$7.40/cs at 60–259 cases (base $7.99).</t>
        </r>
      </text>
    </comment>
    <comment ref="G18" authorId="0">
      <text>
        <r>
          <rPr>
            <sz val="10"/>
            <rFont val="Arial"/>
            <family val="2"/>
          </rPr>
          <t xml:space="preserve">$5.60/cs at 64–175 cases (base $6.35).</t>
        </r>
      </text>
    </comment>
    <comment ref="I25" authorId="0">
      <text>
        <r>
          <rPr>
            <sz val="10"/>
            <rFont val="Arial"/>
            <family val="2"/>
          </rPr>
          <t xml:space="preserve">$0.96/jar listed (sale). Origin: China.</t>
        </r>
      </text>
    </comment>
    <comment ref="I26" authorId="0">
      <text>
        <r>
          <rPr>
            <sz val="10"/>
            <rFont val="Arial"/>
            <family val="2"/>
          </rPr>
          <t xml:space="preserve">$0.99/jar listed. In stock.</t>
        </r>
      </text>
    </comment>
    <comment ref="I27" authorId="0">
      <text>
        <r>
          <rPr>
            <sz val="10"/>
            <rFont val="Arial"/>
            <family val="2"/>
          </rPr>
          <t xml:space="preserve">$0.99/jar listed. In stock.</t>
        </r>
      </text>
    </comment>
    <comment ref="I34" authorId="0">
      <text>
        <r>
          <rPr>
            <sz val="10"/>
            <rFont val="Arial"/>
            <family val="2"/>
          </rPr>
          <t xml:space="preserve">$1.67/jar at 3+ cases, cap included (uline.ca).</t>
        </r>
      </text>
    </comment>
    <comment ref="I35" authorId="0">
      <text>
        <r>
          <rPr>
            <sz val="10"/>
            <rFont val="Arial"/>
            <family val="2"/>
          </rPr>
          <t xml:space="preserve">$2.35/jar at 3+ cases, cap included (uline.ca).</t>
        </r>
      </text>
    </comment>
    <comment ref="I36" authorId="0">
      <text>
        <r>
          <rPr>
            <sz val="10"/>
            <rFont val="Arial"/>
            <family val="2"/>
          </rPr>
          <t xml:space="preserve">$2.35/jar at 3+ cases, cap included (uline.ca).</t>
        </r>
      </text>
    </comment>
    <comment ref="K7" authorId="0">
      <text>
        <r>
          <rPr>
            <sz val="10"/>
            <rFont val="Arial"/>
            <family val="2"/>
          </rPr>
          <t xml:space="preserve">$0.14 at 1,650–9,899 (base $0.16).</t>
        </r>
      </text>
    </comment>
    <comment ref="K8" authorId="0">
      <text>
        <r>
          <rPr>
            <sz val="10"/>
            <rFont val="Arial"/>
            <family val="2"/>
          </rPr>
          <t xml:space="preserve">$0.11 at 1,500+ (base $0.13).</t>
        </r>
      </text>
    </comment>
    <comment ref="K9" authorId="0">
      <text>
        <r>
          <rPr>
            <sz val="10"/>
            <rFont val="Arial"/>
            <family val="2"/>
          </rPr>
          <t xml:space="preserve">$0.15 at 1,150+ (base $0.17).</t>
        </r>
      </text>
    </comment>
    <comment ref="K16" authorId="0">
      <text>
        <r>
          <rPr>
            <sz val="10"/>
            <rFont val="Arial"/>
            <family val="2"/>
          </rPr>
          <t xml:space="preserve">$125 per case of 1,100.</t>
        </r>
      </text>
    </comment>
    <comment ref="K17" authorId="0">
      <text>
        <r>
          <rPr>
            <sz val="10"/>
            <rFont val="Arial"/>
            <family val="2"/>
          </rPr>
          <t xml:space="preserve">$130 per case of 900.</t>
        </r>
      </text>
    </comment>
    <comment ref="K18" authorId="0">
      <text>
        <r>
          <rPr>
            <sz val="10"/>
            <rFont val="Arial"/>
            <family val="2"/>
          </rPr>
          <t xml:space="preserve">$0.22 each.</t>
        </r>
      </text>
    </comment>
    <comment ref="K25" authorId="0">
      <text>
        <r>
          <rPr>
            <sz val="10"/>
            <rFont val="Arial"/>
            <family val="2"/>
          </rPr>
          <t xml:space="preserve">PLACEHOLDER – cap price requires login/quote.</t>
        </r>
      </text>
    </comment>
    <comment ref="K26" authorId="0">
      <text>
        <r>
          <rPr>
            <sz val="10"/>
            <rFont val="Arial"/>
            <family val="2"/>
          </rPr>
          <t xml:space="preserve">PLACEHOLDER – quote required.</t>
        </r>
      </text>
    </comment>
    <comment ref="K27" authorId="0">
      <text>
        <r>
          <rPr>
            <sz val="10"/>
            <rFont val="Arial"/>
            <family val="2"/>
          </rPr>
          <t xml:space="preserve">PLACEHOLDER – quote required.</t>
        </r>
      </text>
    </comment>
    <comment ref="K34" authorId="0">
      <text>
        <r>
          <rPr>
            <sz val="10"/>
            <rFont val="Arial"/>
            <family val="2"/>
          </rPr>
          <t xml:space="preserve">Included in jar price.</t>
        </r>
      </text>
    </comment>
    <comment ref="K35" authorId="0">
      <text>
        <r>
          <rPr>
            <sz val="10"/>
            <rFont val="Arial"/>
            <family val="2"/>
          </rPr>
          <t xml:space="preserve">Included in jar price.</t>
        </r>
      </text>
    </comment>
    <comment ref="K36" authorId="0">
      <text>
        <r>
          <rPr>
            <sz val="10"/>
            <rFont val="Arial"/>
            <family val="2"/>
          </rPr>
          <t xml:space="preserve">Included in jar price.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6" authorId="0">
      <text>
        <r>
          <rPr>
            <sz val="10"/>
            <rFont val="Arial"/>
            <family val="2"/>
          </rPr>
          <t xml:space="preserve">See Regular #1.</t>
        </r>
      </text>
    </comment>
    <comment ref="G17" authorId="0">
      <text>
        <r>
          <rPr>
            <sz val="10"/>
            <rFont val="Arial"/>
            <family val="2"/>
          </rPr>
          <t xml:space="preserve">See Regular #1.</t>
        </r>
      </text>
    </comment>
    <comment ref="G18" authorId="0">
      <text>
        <r>
          <rPr>
            <sz val="10"/>
            <rFont val="Arial"/>
            <family val="2"/>
          </rPr>
          <t xml:space="preserve">See Regular #1.</t>
        </r>
      </text>
    </comment>
    <comment ref="G34" authorId="0">
      <text>
        <r>
          <rPr>
            <sz val="10"/>
            <rFont val="Arial"/>
            <family val="2"/>
          </rPr>
          <t xml:space="preserve">$90/box of 90 on product page (collection page $77.14, out of stock). 5% off 5+ boxes not applied.</t>
        </r>
      </text>
    </comment>
    <comment ref="G35" authorId="0">
      <text>
        <r>
          <rPr>
            <sz val="10"/>
            <rFont val="Arial"/>
            <family val="2"/>
          </rPr>
          <t xml:space="preserve">$69.88/box of 105.</t>
        </r>
      </text>
    </comment>
    <comment ref="G36" authorId="0">
      <text>
        <r>
          <rPr>
            <sz val="10"/>
            <rFont val="Arial"/>
            <family val="2"/>
          </rPr>
          <t xml:space="preserve">$70.59/box of 72.</t>
        </r>
      </text>
    </comment>
    <comment ref="I7" authorId="0">
      <text>
        <r>
          <rPr>
            <sz val="10"/>
            <rFont val="Arial"/>
            <family val="2"/>
          </rPr>
          <t xml:space="preserve">Listing range US$0.15–0.41 (MOQ 2,000). Midpoint used.</t>
        </r>
      </text>
    </comment>
    <comment ref="I8" authorId="0">
      <text>
        <r>
          <rPr>
            <sz val="10"/>
            <rFont val="Arial"/>
            <family val="2"/>
          </rPr>
          <t xml:space="preserve">Listing range ~US$0.15–0.45. Midpoint used.</t>
        </r>
      </text>
    </comment>
    <comment ref="I9" authorId="0">
      <text>
        <r>
          <rPr>
            <sz val="10"/>
            <rFont val="Arial"/>
            <family val="2"/>
          </rPr>
          <t xml:space="preserve">Listing range ~US$0.15–0.45. Midpoint used.</t>
        </r>
      </text>
    </comment>
    <comment ref="I25" authorId="0">
      <text>
        <r>
          <rPr>
            <sz val="10"/>
            <rFont val="Arial"/>
            <family val="2"/>
          </rPr>
          <t xml:space="preserve">US$0.75 indexed; out of stock / not available online at time of indexing.</t>
        </r>
      </text>
    </comment>
    <comment ref="I26" authorId="0">
      <text>
        <r>
          <rPr>
            <sz val="10"/>
            <rFont val="Arial"/>
            <family val="2"/>
          </rPr>
          <t xml:space="preserve">US$1.57 latest (older snapshot $1.42 with 10,958 in stock).</t>
        </r>
      </text>
    </comment>
    <comment ref="I27" authorId="0">
      <text>
        <r>
          <rPr>
            <sz val="10"/>
            <rFont val="Arial"/>
            <family val="2"/>
          </rPr>
          <t xml:space="preserve">US$1.57 latest.</t>
        </r>
      </text>
    </comment>
    <comment ref="K7" authorId="0">
      <text>
        <r>
          <rPr>
            <sz val="10"/>
            <rFont val="Arial"/>
            <family val="2"/>
          </rPr>
          <t xml:space="preserve">ESTIMATE US$0.04–0.08.</t>
        </r>
      </text>
    </comment>
    <comment ref="K8" authorId="0">
      <text>
        <r>
          <rPr>
            <sz val="10"/>
            <rFont val="Arial"/>
            <family val="2"/>
          </rPr>
          <t xml:space="preserve">ESTIMATE.</t>
        </r>
      </text>
    </comment>
    <comment ref="K9" authorId="0">
      <text>
        <r>
          <rPr>
            <sz val="10"/>
            <rFont val="Arial"/>
            <family val="2"/>
          </rPr>
          <t xml:space="preserve">ESTIMATE.</t>
        </r>
      </text>
    </comment>
    <comment ref="K25" authorId="0">
      <text>
        <r>
          <rPr>
            <sz val="10"/>
            <rFont val="Arial"/>
            <family val="2"/>
          </rPr>
          <t xml:space="preserve">ASSUMPTION – cap price based on Burch/Fillmore range.</t>
        </r>
      </text>
    </comment>
    <comment ref="K26" authorId="0">
      <text>
        <r>
          <rPr>
            <sz val="10"/>
            <rFont val="Arial"/>
            <family val="2"/>
          </rPr>
          <t xml:space="preserve">ASSUMPTION.</t>
        </r>
      </text>
    </comment>
    <comment ref="K27" authorId="0">
      <text>
        <r>
          <rPr>
            <sz val="10"/>
            <rFont val="Arial"/>
            <family val="2"/>
          </rPr>
          <t xml:space="preserve">ASSUMPTION.</t>
        </r>
      </text>
    </comment>
    <comment ref="K34" authorId="0">
      <text>
        <r>
          <rPr>
            <sz val="10"/>
            <rFont val="Arial"/>
            <family val="2"/>
          </rPr>
          <t xml:space="preserve">$31.20/box.</t>
        </r>
      </text>
    </comment>
    <comment ref="K35" authorId="0">
      <text>
        <r>
          <rPr>
            <sz val="10"/>
            <rFont val="Arial"/>
            <family val="2"/>
          </rPr>
          <t xml:space="preserve">ASSUMPTION – same as 58-400 cap.</t>
        </r>
      </text>
    </comment>
    <comment ref="K36" authorId="0">
      <text>
        <r>
          <rPr>
            <sz val="10"/>
            <rFont val="Arial"/>
            <family val="2"/>
          </rPr>
          <t xml:space="preserve">ASSUMPTION.</t>
        </r>
      </text>
    </comment>
  </commentList>
</comments>
</file>

<file path=xl/sharedStrings.xml><?xml version="1.0" encoding="utf-8"?>
<sst xmlns="http://schemas.openxmlformats.org/spreadsheetml/2006/main" count="805" uniqueCount="435">
  <si>
    <t xml:space="preserve">Cocoon Supplements – Amber Straight-Sided Jar Sourcing</t>
  </si>
  <si>
    <t xml:space="preserve">Prepared by the procurement agent, Oct 9, 2026. Landed cost = jar + cap + freight, brokerage and one-time costs, in CAD per unit. Order size: 2,000 units per SKU.</t>
  </si>
  <si>
    <t xml:space="preserve">Benchmark (bottle + lid, CAD/unit)</t>
  </si>
  <si>
    <t xml:space="preserve">Implied max from previous manufacturer's $3.74 all-in quote minus $0.30 label. Enter the current manufacturer's figure on Inputs!B10.</t>
  </si>
  <si>
    <t xml:space="preserve">REGULAR (glossy) amber straight-sided – Top 3</t>
  </si>
  <si>
    <t xml:space="preserve">Rank</t>
  </si>
  <si>
    <t xml:space="preserve">Option</t>
  </si>
  <si>
    <t xml:space="preserve">Jar sizes (30ct / 60ct / 90ct)</t>
  </si>
  <si>
    <t xml:space="preserve">Landed CAD/unit (avg)</t>
  </si>
  <si>
    <t xml:space="preserve">Total for 6,000 (CAD)</t>
  </si>
  <si>
    <t xml:space="preserve">Saving vs benchmark / unit</t>
  </si>
  <si>
    <t xml:space="preserve">Lead time</t>
  </si>
  <si>
    <t xml:space="preserve">Key pros</t>
  </si>
  <si>
    <t xml:space="preserve">Key risks / flags</t>
  </si>
  <si>
    <t xml:space="preserve">#1</t>
  </si>
  <si>
    <t xml:space="preserve">Burch Bottle &amp; Packaging (US)</t>
  </si>
  <si>
    <t xml:space="preserve">4 oz / 6 oz / 9 oz</t>
  </si>
  <si>
    <t xml:space="preserve">~1–2 wks + cross-border freight</t>
  </si>
  <si>
    <t xml:space="preserve">Lowest cost; true 6 oz; published volume tiers; deep stock; PS22 tamper-evident cap option</t>
  </si>
  <si>
    <t xml:space="preserve">9 oz instead of 8 oz; confirm 9 oz colour matches; Canada shipping not verified; USD/FX</t>
  </si>
  <si>
    <t xml:space="preserve">#2</t>
  </si>
  <si>
    <t xml:space="preserve">Fillmore Container (US)</t>
  </si>
  <si>
    <t xml:space="preserve">Confirms shipping to Canada; same 4/6/9 line as Burch</t>
  </si>
  <si>
    <t xml:space="preserve">~10–15% more than Burch; no induction liner seen; buyer pays duty/fees</t>
  </si>
  <si>
    <t xml:space="preserve">#3</t>
  </si>
  <si>
    <t xml:space="preserve">Richards Packaging (Canada)</t>
  </si>
  <si>
    <t xml:space="preserve">4 oz / 9 oz / 9 oz</t>
  </si>
  <si>
    <t xml:space="preserve">Days (ships in Canada)</t>
  </si>
  <si>
    <t xml:space="preserve">CAD, no border/duty/FX; only 2 jar SKUs to stock</t>
  </si>
  <si>
    <t xml:space="preserve">No 6 oz; cap prices are quote-only (placeholder used); confirm 2K+ member pricing</t>
  </si>
  <si>
    <t xml:space="preserve">ref</t>
  </si>
  <si>
    <t xml:space="preserve">Uline.ca – designer's example (not ranked)</t>
  </si>
  <si>
    <t xml:space="preserve">4 oz / 8 oz / 8 oz</t>
  </si>
  <si>
    <t xml:space="preserve">Days</t>
  </si>
  <si>
    <t xml:space="preserve">Fastest; cap included</t>
  </si>
  <si>
    <t xml:space="preserve">2–3x cost; no 6 oz; phenolic cap not airtight or induction-sealable; 90x00 tight in 8 oz</t>
  </si>
  <si>
    <t xml:space="preserve">MATTE / FROSTED amber straight-sided – Top 3</t>
  </si>
  <si>
    <t xml:space="preserve">China direct factory (Xuzhou Das / Jiangxi Forever)</t>
  </si>
  <si>
    <t xml:space="preserve">120 ml / 250 ml / 250 ml (or 7 oz for 60ct)</t>
  </si>
  <si>
    <t xml:space="preserve">9–14 weeks</t>
  </si>
  <si>
    <t xml:space="preserve">Lowest cost; true frosted amber in every size; MOQ ~2K matches volume</t>
  </si>
  <si>
    <t xml:space="preserve">ESTIMATE only – RFQ needed; quality/colour variance; needs samples + QC; long lead time; duty to verify</t>
  </si>
  <si>
    <t xml:space="preserve">Burch plain amber + Canadian spray-frost (Stanpac Ink)</t>
  </si>
  <si>
    <t xml:space="preserve">~3–6 weeks</t>
  </si>
  <si>
    <t xml:space="preserve">North American supply; true 6 oz; frost spec controlled locally</t>
  </si>
  <si>
    <t xml:space="preserve">Frosting cost is an estimate; spray frost can scuff (test it); two vendors to manage</t>
  </si>
  <si>
    <t xml:space="preserve">Liquid Bottles stock frosted amber (US)</t>
  </si>
  <si>
    <t xml:space="preserve">~1–2 wks if in stock</t>
  </si>
  <si>
    <t xml:space="preserve">Off-the-shelf frosted amber with matching 58/70-400 necks</t>
  </si>
  <si>
    <t xml:space="preserve">No 6 oz; repeatedly out of stock; 9 oz pricey – call for pallet price</t>
  </si>
  <si>
    <t xml:space="preserve">The Bottle Depot – designer's example (FAILS)</t>
  </si>
  <si>
    <t xml:space="preserve">4 oz frosted / 6 &amp; 8 oz PLAIN</t>
  </si>
  <si>
    <t xml:space="preserve">—</t>
  </si>
  <si>
    <t xml:space="preserve">Easy source of 4 oz frosted samples</t>
  </si>
  <si>
    <t xml:space="preserve">Frosted only up to 4 oz; mismatched necks; 'non-food safe' wording on a listing</t>
  </si>
  <si>
    <t xml:space="preserve">Frosting premium (Frosted #2 vs Regular #1, CAD/unit)</t>
  </si>
  <si>
    <t xml:space="preserve">Extra cost to get the frosted look from North American supply.</t>
  </si>
  <si>
    <t xml:space="preserve">Key findings</t>
  </si>
  <si>
    <t xml:space="preserve">1. Every option is well under the ~$3.44 bottle + lid benchmark. That benchmark is inflated, though: the $3.74 also covers seals and bubble wrap. Get the real number from your current manufacturer before judging savings.</t>
  </si>
  <si>
    <t xml:space="preserve">2. Regular finish: Burch Bottle is the cheapest complete line, at about CAD 1.10 per unit landed with cap and freight. The designer's Uline jar works, but costs about 2x as much.</t>
  </si>
  <si>
    <t xml:space="preserve">3. Frosted finish: no North American distributor stocks frosted amber straight-sided jars in all 3 sizes. The designer's Bottle Depot jar exists only up to 4 oz.</t>
  </si>
  <si>
    <t xml:space="preserve">   For frosted you have 3 routes: China direct (cheapest, ~3 months), frosting plain jars locally (about +CAD 0.80/unit), or a 4 + 9 oz stock line that is often out of stock.</t>
  </si>
  <si>
    <t xml:space="preserve">4. Sizing: no stock amber straight-sided line has 4 + 6 + 8 oz. The closest is 4 + 6 + 9 oz.</t>
  </si>
  <si>
    <t xml:space="preserve">   A 9 oz (266 ml) jar fits 90x size 00 more comfortably than an 8 oz would. Using one 9 oz jar for both new SKUs cuts you to 2 jar sizes.</t>
  </si>
  <si>
    <t xml:space="preserve">5. Tamper-evidence: most stock induction-seal liners are made for plastic and will not seal to glass. Plan on a PS22 pressure-sensitive liner plus a shrink band, or a glass-rated induction liner. Confirm with your manufacturer.</t>
  </si>
  <si>
    <t xml:space="preserve">6. All prices must be verified by quote. The research tool could only see search-engine copies of supplier pages (see Next Steps &amp; Questions).</t>
  </si>
  <si>
    <t xml:space="preserve">Inputs &amp; Assumptions</t>
  </si>
  <si>
    <t xml:space="preserve">Blue text on yellow = editable input. Every other sheet recalculates from these cells.</t>
  </si>
  <si>
    <t xml:space="preserve">Units per SKU per order</t>
  </si>
  <si>
    <t xml:space="preserve">From owner: ~2K per SKU.</t>
  </si>
  <si>
    <t xml:space="preserve">Number of SKUs</t>
  </si>
  <si>
    <t xml:space="preserve">30x size 0 (current) + 60ct + 90ct new SKUs.</t>
  </si>
  <si>
    <t xml:space="preserve">USD → CAD exchange rate</t>
  </si>
  <si>
    <t xml:space="preserve">Assumption, Oct 2026. Update to your bank's rate on order day.</t>
  </si>
  <si>
    <t xml:space="preserve">Previous manufacturer – all-in packaging quote (CAD/unit)</t>
  </si>
  <si>
    <t xml:space="preserve">From owner: bottle + lid + label + seal + bubble wrap. Currency assumed CAD.</t>
  </si>
  <si>
    <t xml:space="preserve">Estimated label cost (CAD/unit)</t>
  </si>
  <si>
    <t xml:space="preserve">From owner's estimate.</t>
  </si>
  <si>
    <t xml:space="preserve">Implied MAX bottle + lid benchmark (CAD/unit)</t>
  </si>
  <si>
    <t xml:space="preserve">Upper bound only – the $3.74 also includes seal + bubble wrap, so true bottle+lid cost is lower. Replace with current manufacturer's figure when received.</t>
  </si>
  <si>
    <t xml:space="preserve">Current manufacturer bottle + lid cost (CAD/unit) – TO CONFIRM</t>
  </si>
  <si>
    <t xml:space="preserve">Fill in once your current manufacturer confirms. Leave blank to use the implied max above.</t>
  </si>
  <si>
    <t xml:space="preserve">Benchmark used in comparisons (CAD/unit)</t>
  </si>
  <si>
    <t xml:space="preserve">Uses confirmed figure if entered, else the implied max.</t>
  </si>
  <si>
    <t xml:space="preserve">FREIGHT &amp; IMPORT (estimates – replace with real quotes)</t>
  </si>
  <si>
    <t xml:space="preserve">US → Canada LTL freight, ~2–3 pallets (USD)</t>
  </si>
  <si>
    <t xml:space="preserve">ESTIMATE: midpoint of US$700–1,400 range. Get freight quotes to your postal code.</t>
  </si>
  <si>
    <t xml:space="preserve">Customs brokerage, US import (CAD)</t>
  </si>
  <si>
    <t xml:space="preserve">ESTIMATE: CAD 150–300 typical.</t>
  </si>
  <si>
    <t xml:space="preserve">Domestic Canada freight, ~2–3 pallets (CAD)</t>
  </si>
  <si>
    <t xml:space="preserve">ESTIMATE for Canadian-warehouse suppliers (Richards, Uline).</t>
  </si>
  <si>
    <t xml:space="preserve">China → Canada LCL sea freight + port/destination fees + brokerage (USD)</t>
  </si>
  <si>
    <t xml:space="preserve">ESTIMATE: midpoint of US$1,200–2,500 for ~4–5 m³ / ~1.4 t.</t>
  </si>
  <si>
    <t xml:space="preserve">Import duty rate on glass jars (HS 7010.90)</t>
  </si>
  <si>
    <t xml:space="preserve">NOT VERIFIED – believed to be Free (MFN). Confirm with customs broker, incl. any surtaxes on US/China goods.</t>
  </si>
  <si>
    <t xml:space="preserve">China samples + third-party QC inspection (CAD, one-time)</t>
  </si>
  <si>
    <t xml:space="preserve">ESTIMATE.</t>
  </si>
  <si>
    <t xml:space="preserve">FROSTING / DECORATION (estimates – quote required)</t>
  </si>
  <si>
    <t xml:space="preserve">North American spray-frost per jar (CAD)</t>
  </si>
  <si>
    <t xml:space="preserve">ESTIMATE: CAD 0.30–0.60/jar (e.g. Stanpac Ink, Ontario). Quote required.</t>
  </si>
  <si>
    <t xml:space="preserve">North American spray-frost setup per SKU (CAD)</t>
  </si>
  <si>
    <t xml:space="preserve">ESTIMATE: CAD 300–1,000 per SKU.</t>
  </si>
  <si>
    <t xml:space="preserve">Freight to/from decorator (CAD)</t>
  </si>
  <si>
    <t xml:space="preserve">Capsule Fill Sizing – what jar size does each SKU need?</t>
  </si>
  <si>
    <t xml:space="preserve">Volume needed depends on the capsules, not on the container shape. A straight-sided jar needs the same cc as a packer bottle; it is just shorter and wider.</t>
  </si>
  <si>
    <t xml:space="preserve">Capsule specs</t>
  </si>
  <si>
    <t xml:space="preserve">Capsule size</t>
  </si>
  <si>
    <t xml:space="preserve">Closed length (mm)</t>
  </si>
  <si>
    <t xml:space="preserve">Outer diameter (mm)</t>
  </si>
  <si>
    <t xml:space="preserve">Envelope volume per capsule (cc)</t>
  </si>
  <si>
    <t xml:space="preserve">Space needed per capsule incl. packing gaps + headspace (cc)</t>
  </si>
  <si>
    <t xml:space="preserve">0</t>
  </si>
  <si>
    <t xml:space="preserve">00</t>
  </si>
  <si>
    <t xml:space="preserve">Assumptions</t>
  </si>
  <si>
    <t xml:space="preserve">Packing fraction (share of space filled by randomly-poured capsules)</t>
  </si>
  <si>
    <t xml:space="preserve">Random-packing estimate for capsule shapes. Calibrated so size 0 ≈ 1.9 cc/capsule, in line with industry bottle charts (60x0 → 120cc, 90x0 → 175cc).</t>
  </si>
  <si>
    <t xml:space="preserve">Headspace allowance</t>
  </si>
  <si>
    <t xml:space="preserve">Room for cotton/desiccant and so the cap closes without crushing capsules.</t>
  </si>
  <si>
    <t xml:space="preserve">Jar capacities (nominal)</t>
  </si>
  <si>
    <t xml:space="preserve">Jar</t>
  </si>
  <si>
    <t xml:space="preserve">Capacity (ml)</t>
  </si>
  <si>
    <t xml:space="preserve">Neck finish (typical)</t>
  </si>
  <si>
    <t xml:space="preserve">4 oz</t>
  </si>
  <si>
    <t xml:space="preserve">58-400</t>
  </si>
  <si>
    <t xml:space="preserve">Nominal (label) capacity. Brim-full/overflow capacity is typically 10–15% higher, so these results are conservative.</t>
  </si>
  <si>
    <t xml:space="preserve">6 oz</t>
  </si>
  <si>
    <t xml:space="preserve">63-400</t>
  </si>
  <si>
    <t xml:space="preserve">8 oz</t>
  </si>
  <si>
    <t xml:space="preserve">70-400</t>
  </si>
  <si>
    <t xml:space="preserve">9 oz</t>
  </si>
  <si>
    <t xml:space="preserve">Fill % by SKU and jar  (≤90% = fits · 90–100% = tight, test with samples · &gt;100% = too small)</t>
  </si>
  <si>
    <t xml:space="preserve">SKU / scenario</t>
  </si>
  <si>
    <t xml:space="preserve">Count</t>
  </si>
  <si>
    <t xml:space="preserve">cc needed</t>
  </si>
  <si>
    <t xml:space="preserve">4 oz fill %</t>
  </si>
  <si>
    <t xml:space="preserve">6 oz fill %</t>
  </si>
  <si>
    <t xml:space="preserve">8 oz fill %</t>
  </si>
  <si>
    <t xml:space="preserve">9 oz fill %</t>
  </si>
  <si>
    <t xml:space="preserve">Smallest jar that fits (≤90%)</t>
  </si>
  <si>
    <t xml:space="preserve">Current SKU – 30ct</t>
  </si>
  <si>
    <t xml:space="preserve">New SKU A – 60ct (if size 00)</t>
  </si>
  <si>
    <t xml:space="preserve">New SKU A – 60ct (if size 0)</t>
  </si>
  <si>
    <t xml:space="preserve">New SKU B – 90ct (if size 00)</t>
  </si>
  <si>
    <t xml:space="preserve">New SKU B – 90ct (if size 0)</t>
  </si>
  <si>
    <t xml:space="preserve">Takeaways</t>
  </si>
  <si>
    <t xml:space="preserve">• 30x size 0 needs only ~55–60 cc. A 4 oz jar is about half full, which is the same headroom you have in today's 120cc bottle. A 2 oz (60 ml) jar would be too tight.</t>
  </si>
  <si>
    <t xml:space="preserve">• 60ct goes in a 6 oz jar whether production lands on size 0 or 00.</t>
  </si>
  <si>
    <t xml:space="preserve">• 90ct: size 00 needs ~220 cc, so it is tight in an 8 oz and comfortable in a 9 oz. Size 0 (~165 cc) is tight in a 6 oz.</t>
  </si>
  <si>
    <t xml:space="preserve">  → Plan an 8–9 oz jar for the 90ct. That jar works whatever capsule size production ends up with.</t>
  </si>
  <si>
    <t xml:space="preserve">• Simplest option: one 8–9 oz jar for BOTH new SKUs, so 2 jar sizes instead of 3. That means fewer SKUs to stock and bigger price breaks. The 60ct would sit at ~60% full.</t>
  </si>
  <si>
    <t xml:space="preserve">• These are estimates. Before ordering at volume, fill one sample jar of each size with real capsules.</t>
  </si>
  <si>
    <t xml:space="preserve">Amber Straight-Sided Jars – REGULAR (glossy) finish: Top 3 by landed cost</t>
  </si>
  <si>
    <t xml:space="preserve">Ranked by landed cost per unit (CAD). Prices are from indexed copies of the supplier web pages, Oct 2026. Verify each one by quote before ordering. Blue/yellow cells are editable.</t>
  </si>
  <si>
    <t xml:space="preserve">#1  BURCH BOTTLE &amp; PACKAGING (New York, US)  –  4 oz / 6 oz / 9 oz, black PP caps</t>
  </si>
  <si>
    <t xml:space="preserve">Lowest cost found. The only lines with a true 6 oz amber are Burch, Fillmore and Containers &amp; Packaging Supply. Each skips 8 oz and goes to 9 oz (266 ml). Volume price tiers are published; stock is deep. Canada shipping not verified.</t>
  </si>
  <si>
    <t xml:space="preserve">SKU</t>
  </si>
  <si>
    <t xml:space="preserve">Jar used</t>
  </si>
  <si>
    <t xml:space="preserve">Supplier item #</t>
  </si>
  <si>
    <t xml:space="preserve">Neck</t>
  </si>
  <si>
    <t xml:space="preserve">Qty</t>
  </si>
  <si>
    <t xml:space="preserve">Currency</t>
  </si>
  <si>
    <t xml:space="preserve">Jar case price</t>
  </si>
  <si>
    <t xml:space="preserve">Case pack</t>
  </si>
  <si>
    <t xml:space="preserve">Jar unit price</t>
  </si>
  <si>
    <t xml:space="preserve">Cap item / type</t>
  </si>
  <si>
    <t xml:space="preserve">Cap unit price</t>
  </si>
  <si>
    <t xml:space="preserve">FX to CAD</t>
  </si>
  <si>
    <t xml:space="preserve">Jar + cap (CAD/unit)</t>
  </si>
  <si>
    <t xml:space="preserve">Decoration (CAD/unit)</t>
  </si>
  <si>
    <t xml:space="preserve">Freight, duty &amp; one-time costs (CAD/unit)</t>
  </si>
  <si>
    <t xml:space="preserve">LANDED (CAD/unit)</t>
  </si>
  <si>
    <t xml:space="preserve">Extended (CAD)</t>
  </si>
  <si>
    <t xml:space="preserve">vs benchmark (CAD/unit)</t>
  </si>
  <si>
    <t xml:space="preserve">Price status</t>
  </si>
  <si>
    <t xml:space="preserve">Current – 30x size 0</t>
  </si>
  <si>
    <t xml:space="preserve">1SSA042GHG</t>
  </si>
  <si>
    <t xml:space="preserve">USD</t>
  </si>
  <si>
    <t xml:space="preserve">2BP0581PX black PP ribbed, F217 liner</t>
  </si>
  <si>
    <t xml:space="preserve">Indexed web price at volume break – verify by quote</t>
  </si>
  <si>
    <t xml:space="preserve">New A – 60ct (0 or 00)</t>
  </si>
  <si>
    <t xml:space="preserve">1SSA062GHG</t>
  </si>
  <si>
    <t xml:space="preserve">2BP0632PX black PP, F217 liner</t>
  </si>
  <si>
    <t xml:space="preserve">New B – 90ct (0 or 00)</t>
  </si>
  <si>
    <t xml:space="preserve">1SSA092SGC</t>
  </si>
  <si>
    <t xml:space="preserve">2BP0701PX black PP, F217 liner (PS22 tamper-evident version: 2BP0706MR)</t>
  </si>
  <si>
    <t xml:space="preserve">Indexed web price at volume break – verify by quote. Confirm colour is amber.</t>
  </si>
  <si>
    <t xml:space="preserve">TOTAL / weighted average</t>
  </si>
  <si>
    <t xml:space="preserve">One-time / shared costs (freight, brokerage, setup, QC) allocated across all units:</t>
  </si>
  <si>
    <t xml:space="preserve">Calc: US LTL freight × FX + brokerage (Inputs)</t>
  </si>
  <si>
    <t xml:space="preserve">#2  FILLMORE CONTAINER (Pennsylvania, US)  –  4 oz / 6 oz / 9 oz, black PP caps</t>
  </si>
  <si>
    <t xml:space="preserve">Same 4/6/9 oz structure as Burch, ~10–15% higher product cost. FAQ explicitly confirms ground + freight shipping to Canada (buyer pays duties/fees), so lower execution risk.</t>
  </si>
  <si>
    <t xml:space="preserve">R04-30C (case 24)</t>
  </si>
  <si>
    <t xml:space="preserve">RC-058 PBMR black PP, F217 liner</t>
  </si>
  <si>
    <t xml:space="preserve">B06-30C (case 12)</t>
  </si>
  <si>
    <t xml:space="preserve">63-400 black PP ribbed, F217 liner</t>
  </si>
  <si>
    <t xml:space="preserve">B09-30C (case 12)</t>
  </si>
  <si>
    <t xml:space="preserve">70-400 black PP, F217 liner</t>
  </si>
  <si>
    <t xml:space="preserve">#3  RICHARDS PACKAGING (Canada – Toronto/Montreal/Calgary)  –  4 oz / 9 oz / 9 oz</t>
  </si>
  <si>
    <t xml:space="preserve">Canadian supplier: CAD pricing, no border, duty or FX risk. No 6 oz amber, so both new SKUs use the 9 oz (fits all capsule counts; 60ct sits ~60% full). Caps are quote-only: the CAD 0.25 shown is a placeholder. Member pricing at 2,000+ may be lower.</t>
  </si>
  <si>
    <t xml:space="preserve">RP-1159A / 40210181</t>
  </si>
  <si>
    <t xml:space="preserve">CAD</t>
  </si>
  <si>
    <t xml:space="preserve">n/a</t>
  </si>
  <si>
    <t xml:space="preserve">58-400 black PP smooth, F217 liner</t>
  </si>
  <si>
    <t xml:space="preserve">Jar: indexed web price. Cap: QUOTE REQUIRED (placeholder)</t>
  </si>
  <si>
    <t xml:space="preserve">RP-1001A / 40220146</t>
  </si>
  <si>
    <t xml:space="preserve">70-400 black PP</t>
  </si>
  <si>
    <t xml:space="preserve">Calc: Domestic Canada freight (Inputs)</t>
  </si>
  <si>
    <t xml:space="preserve">REFERENCE (not ranked):  ULINE CANADA – the jar your designer linked  –  4 oz / 8 oz / 8 oz, phenolic cap included</t>
  </si>
  <si>
    <t xml:space="preserve">Fast and Canadian, but 2–3x the cost of the options above. Price breaks top out at 3+ cases. No 6 oz. Uline states the phenolic pulp/vinyl cap is not airtight and cannot be induction sealed. Good only for small top-up orders or samples.</t>
  </si>
  <si>
    <t xml:space="preserve">S-24532</t>
  </si>
  <si>
    <t xml:space="preserve">Black phenolic, pulp/vinyl liner (included)</t>
  </si>
  <si>
    <t xml:space="preserve">Indexed web price (uline.ca)</t>
  </si>
  <si>
    <t xml:space="preserve">S-24533</t>
  </si>
  <si>
    <t xml:space="preserve">Indexed web price (uline.ca). 90x00 is tight in 8 oz – test.</t>
  </si>
  <si>
    <t xml:space="preserve">Amber Straight-Sided Jars – MATTE / FROSTED finish: Top 3 by landed cost</t>
  </si>
  <si>
    <t xml:space="preserve">KEY FINDING: no North American stock supplier carries frosted amber straight-sided jars in all three sizes. The Bottle Depot (designer's link) has frosted amber up to 4 oz only. That leaves 3 routes: China direct, frost-it-yourself via a decorator, or a partial stock line.</t>
  </si>
  <si>
    <t xml:space="preserve">#1  CHINA DIRECT FACTORY (e.g. Xuzhou Das Packing; Jiangxi Forever)  –  120 ml / 250 ml / 250 ml frosted amber</t>
  </si>
  <si>
    <t xml:space="preserve">Lowest cost, but 9–14 weeks from order to delivery, plus quality and colour-consistency risk. Xuzhou Das lists frosted amber straight-sided jars in 2/4/8 oz with MOQ 2,000, which matches your volume. Jiangxi Forever lists 4/7/8 oz (the 7 oz would suit the 60ct). Prices are mid-points of listing ranges, not quotes.</t>
  </si>
  <si>
    <t xml:space="preserve">4 oz / 120 ml</t>
  </si>
  <si>
    <t xml:space="preserve">Xuzhou Das Packing – frosted amber SS jar</t>
  </si>
  <si>
    <t xml:space="preserve">~58 mm</t>
  </si>
  <si>
    <t xml:space="preserve">Black PP cap w/ liner (specify glass-rated induction or PS liner)</t>
  </si>
  <si>
    <t xml:space="preserve">ESTIMATE from listing ranges – RFQ required</t>
  </si>
  <si>
    <t xml:space="preserve">8 oz / 250 ml</t>
  </si>
  <si>
    <t xml:space="preserve">Xuzhou Das (8 oz) – or Jiangxi Forever 7 oz</t>
  </si>
  <si>
    <t xml:space="preserve">~70 mm</t>
  </si>
  <si>
    <t xml:space="preserve">Black PP cap w/ liner</t>
  </si>
  <si>
    <t xml:space="preserve">ESTIMATE from listing ranges – RFQ required. 90x00 tight in 240–250 ml – test.</t>
  </si>
  <si>
    <t xml:space="preserve">Calc: China LCL freight/brokerage × FX + samples/QC (Inputs)</t>
  </si>
  <si>
    <t xml:space="preserve">#2  BURCH plain amber (4/6/9 oz)  +  SPRAY-FROSTED by a Canadian decorator (e.g. Stanpac Ink, Ontario)</t>
  </si>
  <si>
    <t xml:space="preserve">Best North American route: real 6 oz, stock jars, about 3–6 weeks. Jar and cap prices are the same as Regular #1. Frosting is a CAD estimate (quote required). Spray frost is a lacquer, so test scuff/abrasion. Acid etch is permanent but costs more.</t>
  </si>
  <si>
    <t xml:space="preserve">2BP0581PX black PP, F217 liner</t>
  </si>
  <si>
    <t xml:space="preserve">Jar/cap: indexed web price. Frosting: ESTIMATE – quote required</t>
  </si>
  <si>
    <t xml:space="preserve">2BP0701PX black PP, F217 liner</t>
  </si>
  <si>
    <t xml:space="preserve">Calc: US freight × FX + brokerage + frost setup × SKUs + decorator freight (Inputs)</t>
  </si>
  <si>
    <t xml:space="preserve">#3  LIQUID BOTTLES (Florida, US) – stock frosted amber  –  4 oz / 9 oz / 9 oz</t>
  </si>
  <si>
    <t xml:space="preserve">Only North American stock line found with frosted amber in both a 4 oz and a 9 oz (58-400 / 70-400). No 6 oz, so both new SKUs use the 9 oz. Stock is unreliable: both items have shown 'out of stock / call for availability'. Pallet pricing (2,520 units) is available by phone and could be lower.</t>
  </si>
  <si>
    <t xml:space="preserve">GJ402-F (frosted)</t>
  </si>
  <si>
    <t xml:space="preserve">58-400 black PP, F217 liner (any supplier)</t>
  </si>
  <si>
    <t xml:space="preserve">Indexed web price – call to confirm stock + pallet pricing</t>
  </si>
  <si>
    <t xml:space="preserve">GJ908-H (frosted amber)</t>
  </si>
  <si>
    <t xml:space="preserve">REFERENCE (FAILS all-sizes requirement):  THE BOTTLE DEPOT – the jar your designer linked</t>
  </si>
  <si>
    <t xml:space="preserve">Frosted amber only goes up to 4 oz. The 6 oz and 8 oz shown here are PLAIN amber with non-standard 54-410 / 71-410 necks, so they are not the same line. One listing describes the material as 'non-food safe… for cosmetics'; get a food-contact statement before using it for supplements. Useful for buying 4 oz samples quickly.</t>
  </si>
  <si>
    <t xml:space="preserve">4 oz FROSTED</t>
  </si>
  <si>
    <t xml:space="preserve">4 oz amber frosted SS jar 58-400</t>
  </si>
  <si>
    <t xml:space="preserve">58-400 black PP smooth, PE liner</t>
  </si>
  <si>
    <t xml:space="preserve">Indexed web price – conflicting prices</t>
  </si>
  <si>
    <t xml:space="preserve">6 oz PLAIN</t>
  </si>
  <si>
    <t xml:space="preserve">6 oz amber SS jar 54-410 (not frosted)</t>
  </si>
  <si>
    <t xml:space="preserve">54-410</t>
  </si>
  <si>
    <t xml:space="preserve">54-410 cap – not priced</t>
  </si>
  <si>
    <t xml:space="preserve">NOT FROSTED – fails requirement</t>
  </si>
  <si>
    <t xml:space="preserve">8 oz PLAIN</t>
  </si>
  <si>
    <t xml:space="preserve">8 oz amber SS jar 71-410 (not frosted)</t>
  </si>
  <si>
    <t xml:space="preserve">71-410</t>
  </si>
  <si>
    <t xml:space="preserve">71-410 cap – not priced</t>
  </si>
  <si>
    <t xml:space="preserve">Every supplier screened – raw findings</t>
  </si>
  <si>
    <t xml:space="preserve">Prices are as indexed (native currency). 'All SKUs fit' = there is a jar in the line for each SKU, using 8–9 oz for both new SKUs where no 6 oz exists.</t>
  </si>
  <si>
    <t xml:space="preserve">Finish</t>
  </si>
  <si>
    <t xml:space="preserve">Supplier</t>
  </si>
  <si>
    <t xml:space="preserve">Location / ships from</t>
  </si>
  <si>
    <t xml:space="preserve">Amber straight-sided sizes offered</t>
  </si>
  <si>
    <t xml:space="preserve">Has 6 oz?</t>
  </si>
  <si>
    <t xml:space="preserve">All SKUs fit?</t>
  </si>
  <si>
    <t xml:space="preserve">Indicative jar price (native)</t>
  </si>
  <si>
    <t xml:space="preserve">Caps</t>
  </si>
  <si>
    <t xml:space="preserve">Verdict</t>
  </si>
  <si>
    <t xml:space="preserve">Source URL</t>
  </si>
  <si>
    <t xml:space="preserve">Regular</t>
  </si>
  <si>
    <t xml:space="preserve">Burch Bottle &amp; Packaging</t>
  </si>
  <si>
    <t xml:space="preserve">NY, USA (USD)</t>
  </si>
  <si>
    <t xml:space="preserve">4 (58-400), 6 (63-400), 9 (70-400), 16 oz</t>
  </si>
  <si>
    <t xml:space="preserve">Yes</t>
  </si>
  <si>
    <t xml:space="preserve">4oz $0.48 · 6oz $0.51 · 9oz $0.44 at ~2K</t>
  </si>
  <si>
    <t xml:space="preserve">Black PP F217 $0.11–0.15; PS22 TE option (70-400)</t>
  </si>
  <si>
    <t xml:space="preserve">TOP 3 – #1</t>
  </si>
  <si>
    <t xml:space="preserve">https://www.burchbottle.com/6oz-Amber-Straight-Sided-Jar-63-400</t>
  </si>
  <si>
    <t xml:space="preserve">Fillmore Container</t>
  </si>
  <si>
    <t xml:space="preserve">PA, USA (USD); ships to Canada</t>
  </si>
  <si>
    <t xml:space="preserve">4, 6, 9, 16 oz</t>
  </si>
  <si>
    <t xml:space="preserve">4oz $0.51 · 6oz $0.62 · 9oz $0.47</t>
  </si>
  <si>
    <t xml:space="preserve">Black PP F217 $0.11–0.22</t>
  </si>
  <si>
    <t xml:space="preserve">TOP 3 – #2</t>
  </si>
  <si>
    <t xml:space="preserve">https://www.fillmorecontainer.com/6-oz-amber-straight-sided-jar-case-of-12.html</t>
  </si>
  <si>
    <t xml:space="preserve">Richards Packaging</t>
  </si>
  <si>
    <t xml:space="preserve">Canada (CAD)</t>
  </si>
  <si>
    <t xml:space="preserve">4 oz, 9 oz</t>
  </si>
  <si>
    <t xml:space="preserve">No</t>
  </si>
  <si>
    <t xml:space="preserve">Yes (9 oz for both new SKUs)</t>
  </si>
  <si>
    <t xml:space="preserve">4oz $0.96 · 9oz $0.99 CAD</t>
  </si>
  <si>
    <t xml:space="preserve">Quote/login required</t>
  </si>
  <si>
    <t xml:space="preserve">TOP 3 – #3 (Canadian, no border)</t>
  </si>
  <si>
    <t xml:space="preserve">https://richardspackaging.com/products/9-oz-amber-glass-straight-sided-jar-70-400-12-rp-1001a</t>
  </si>
  <si>
    <t xml:space="preserve">Containers &amp; Packaging Supply</t>
  </si>
  <si>
    <t xml:space="preserve">ID, USA (USD)</t>
  </si>
  <si>
    <t xml:space="preserve">4 (G850AM), 6 (G506AM), 9 (G842AM), 16 oz</t>
  </si>
  <si>
    <t xml:space="preserve">Quote required</t>
  </si>
  <si>
    <t xml:space="preserve">Not verified</t>
  </si>
  <si>
    <t xml:space="preserve">Alternate – full 4/6/9 line, get a quote</t>
  </si>
  <si>
    <t xml:space="preserve">https://www.containerandpackaging.com/products/glass-straight-sided-jar/g506am/</t>
  </si>
  <si>
    <t xml:space="preserve">Uline Canada</t>
  </si>
  <si>
    <t xml:space="preserve">1, 2, 4, 8 oz</t>
  </si>
  <si>
    <t xml:space="preserve">Yes (8 oz for both; 90x00 tight)</t>
  </si>
  <si>
    <t xml:space="preserve">4oz $1.67 · 8oz $2.35 CAD incl. phenolic cap</t>
  </si>
  <si>
    <t xml:space="preserve">Phenolic pulp/vinyl – not airtight, no induction</t>
  </si>
  <si>
    <t xml:space="preserve">Reference only – 2–3x cost</t>
  </si>
  <si>
    <t xml:space="preserve">https://www.uline.ca/Product/Detail/S-24532/Jars/Amber-Straight-Sided-Glass-Jars-4-oz-Phenolic-Cap</t>
  </si>
  <si>
    <t xml:space="preserve">SKS Bottle &amp; Packaging</t>
  </si>
  <si>
    <t xml:space="preserve">4, 8 oz</t>
  </si>
  <si>
    <t xml:space="preserve">Yes (8 oz)</t>
  </si>
  <si>
    <t xml:space="preserve">4oz $0.49 · 8oz $0.88 (jar only)</t>
  </si>
  <si>
    <t xml:space="preserve">Induction-lined caps available (63/70 mm)</t>
  </si>
  <si>
    <t xml:space="preserve">Not shortlisted – 8 oz expensive</t>
  </si>
  <si>
    <t xml:space="preserve">https://www.sks-bottle.com/product/305037.html</t>
  </si>
  <si>
    <t xml:space="preserve">Specialty Bottle</t>
  </si>
  <si>
    <t xml:space="preserve">WA, USA (USD)</t>
  </si>
  <si>
    <t xml:space="preserve">4, 9 oz</t>
  </si>
  <si>
    <t xml:space="preserve">Yes (9 oz)</t>
  </si>
  <si>
    <t xml:space="preserve">4oz $0.80 at 1K–5K incl. lid; 9oz $1.06</t>
  </si>
  <si>
    <t xml:space="preserve">Lid included</t>
  </si>
  <si>
    <t xml:space="preserve">Not shortlisted – higher cost</t>
  </si>
  <si>
    <t xml:space="preserve">https://www.specialtybottle.com/glass-jars/amber-straight-sided/4oz-salv4a</t>
  </si>
  <si>
    <t xml:space="preserve">The Bottle Depot</t>
  </si>
  <si>
    <t xml:space="preserve">TX/FL, USA (USD)</t>
  </si>
  <si>
    <t xml:space="preserve">4 (58-400), 6 (54-410), 8 (71-410)</t>
  </si>
  <si>
    <t xml:space="preserve">Yes (different neck)</t>
  </si>
  <si>
    <t xml:space="preserve">4oz $0.62 · 6oz $0.66 · 8oz $0.98</t>
  </si>
  <si>
    <t xml:space="preserve">Separate, $0.26</t>
  </si>
  <si>
    <t xml:space="preserve">Not shortlisted – mismatched necks, Canada shipping unclear</t>
  </si>
  <si>
    <t xml:space="preserve">https://thebottledepot.co/collections/amber-glass-jars</t>
  </si>
  <si>
    <t xml:space="preserve">Berlin Packaging</t>
  </si>
  <si>
    <t xml:space="preserve">USA; Canada via United Bottles (QC)</t>
  </si>
  <si>
    <t xml:space="preserve">~$0.55 (4 oz), some out of stock</t>
  </si>
  <si>
    <t xml:space="preserve">Separate</t>
  </si>
  <si>
    <t xml:space="preserve">Not shortlisted</t>
  </si>
  <si>
    <t xml:space="preserve">https://www.berlinpackaging.com/5001b55-b-4-oz-amber-glass-straight-sided-squat-jars-cap-not-included/</t>
  </si>
  <si>
    <t xml:space="preserve">O.Berk</t>
  </si>
  <si>
    <t xml:space="preserve">USA</t>
  </si>
  <si>
    <t xml:space="preserve">2, 4, 8, 16, 32 oz</t>
  </si>
  <si>
    <t xml:space="preserve">Yes (8 oz, special order MOQ 2,376)</t>
  </si>
  <si>
    <t xml:space="preserve">https://www.oberk.com/product-spotlight/amber-straight-side-jars</t>
  </si>
  <si>
    <t xml:space="preserve">Qorpak</t>
  </si>
  <si>
    <t xml:space="preserve">4, 8 oz (lab grade)</t>
  </si>
  <si>
    <t xml:space="preserve">4oz $1.54 jar only</t>
  </si>
  <si>
    <t xml:space="preserve">Not shortlisted – expensive</t>
  </si>
  <si>
    <t xml:space="preserve">https://shop.qorpak.com/products/260300/4-oz-amber-gl-ty-iii-straight-sided-jars-58-400-24-cs-260300/</t>
  </si>
  <si>
    <t xml:space="preserve">Voyageur Soap &amp; Candle</t>
  </si>
  <si>
    <t xml:space="preserve">BC, Canada (CAD)</t>
  </si>
  <si>
    <t xml:space="preserve">4oz ~$1.77 · 8oz ~$1.71–1.95 retail</t>
  </si>
  <si>
    <t xml:space="preserve">Not shortlisted – retail pricing</t>
  </si>
  <si>
    <t xml:space="preserve">https://www.voyageursoapandcandle.com/collections/glass-jars</t>
  </si>
  <si>
    <t xml:space="preserve">Bottlestore</t>
  </si>
  <si>
    <t xml:space="preserve">4 (58-405), 8 oz (70-405, 272 ml overflow)</t>
  </si>
  <si>
    <t xml:space="preserve">4oz $0.64 · 8oz $0.46 (24-pk)</t>
  </si>
  <si>
    <t xml:space="preserve">Metal cap w/ heat-seal liner $0.37</t>
  </si>
  <si>
    <t xml:space="preserve">Worth a quote for 4/8 config</t>
  </si>
  <si>
    <t xml:space="preserve">https://www.bottlestore.com/8oz-amber-glass-straight-sided-jar-70-405-neck-finish-24-pack.html</t>
  </si>
  <si>
    <t xml:space="preserve">Alibaba / China direct</t>
  </si>
  <si>
    <t xml:space="preserve">China (USD, FOB)</t>
  </si>
  <si>
    <t xml:space="preserve">120 / 180 / 250 ml common</t>
  </si>
  <si>
    <t xml:space="preserve">Yes (180 ml)</t>
  </si>
  <si>
    <t xml:space="preserve">US$0.25–0.50 with lid; MOQ 1K–5K</t>
  </si>
  <si>
    <t xml:space="preserve">Basic PE foam typical</t>
  </si>
  <si>
    <t xml:space="preserve">Future re-orders – 2–3 month lead time</t>
  </si>
  <si>
    <t xml:space="preserve">https://www.alibaba.com/showroom/amber-glass-straight-sided-jar.html</t>
  </si>
  <si>
    <t xml:space="preserve">Frosted</t>
  </si>
  <si>
    <t xml:space="preserve">China direct – Xuzhou Das Packing / Jiangxi Forever / VANJOIN</t>
  </si>
  <si>
    <t xml:space="preserve">Das: 2/4/8 oz · Forever: 4/7/8 oz · VANJOIN: 120–250 ml</t>
  </si>
  <si>
    <t xml:space="preserve">7 oz (Forever)</t>
  </si>
  <si>
    <t xml:space="preserve">US$0.15–0.41 (MOQ 1–2K)</t>
  </si>
  <si>
    <t xml:space="preserve">Specify glass-rated liner</t>
  </si>
  <si>
    <t xml:space="preserve">Burch + Canadian spray-frost decorator (Stanpac Ink)</t>
  </si>
  <si>
    <t xml:space="preserve">US jars → Ontario decorator</t>
  </si>
  <si>
    <t xml:space="preserve">4 / 6 / 9 oz</t>
  </si>
  <si>
    <t xml:space="preserve">Jar as Regular #1 + est. CAD 0.30–0.60 frost</t>
  </si>
  <si>
    <t xml:space="preserve">As Regular #1</t>
  </si>
  <si>
    <t xml:space="preserve">https://www.stanpacnet.com/glass-container-printing/</t>
  </si>
  <si>
    <t xml:space="preserve">Liquid Bottles</t>
  </si>
  <si>
    <t xml:space="preserve">FL, USA (USD)</t>
  </si>
  <si>
    <t xml:space="preserve">4 oz (GJ402-F), 9 oz (GJ908-H) frosted amber</t>
  </si>
  <si>
    <t xml:space="preserve">Yes (9 oz for both)</t>
  </si>
  <si>
    <t xml:space="preserve">4oz $0.75 · 9oz $1.42–1.57</t>
  </si>
  <si>
    <t xml:space="preserve">TOP 3 – #3 (stock risk)</t>
  </si>
  <si>
    <t xml:space="preserve">https://www.liquidbottles.com/products/3311/9oz-Frosted-Amber-Glass-Jar-70-400-60cs</t>
  </si>
  <si>
    <t xml:space="preserve">Berlin Packaging / O.Berk – custom acid-etch or spray program</t>
  </si>
  <si>
    <t xml:space="preserve">USA; Berlin invoices CAD via United Bottles</t>
  </si>
  <si>
    <t xml:space="preserve">Any stock jar, decorated</t>
  </si>
  <si>
    <t xml:space="preserve">Quote required (est. CAD 1.80–2.75+)</t>
  </si>
  <si>
    <t xml:space="preserve">Turnkey alternative – get a quote</t>
  </si>
  <si>
    <t xml:space="preserve">https://www.berlinpackaging.com/custom-decorating-services</t>
  </si>
  <si>
    <t xml:space="preserve">The Bottle Depot (designer's link)</t>
  </si>
  <si>
    <t xml:space="preserve">USA (USD)</t>
  </si>
  <si>
    <t xml:space="preserve">Frosted amber only 0.5–4 oz</t>
  </si>
  <si>
    <t xml:space="preserve">No (plain only)</t>
  </si>
  <si>
    <t xml:space="preserve">NO</t>
  </si>
  <si>
    <t xml:space="preserve">4oz frosted $0.75–1.00</t>
  </si>
  <si>
    <t xml:space="preserve">$0.26 PE liner</t>
  </si>
  <si>
    <t xml:space="preserve">FAILS – frosted only up to 4 oz</t>
  </si>
  <si>
    <t xml:space="preserve">https://thebottledepot.co/collections/frosted-glass-jars</t>
  </si>
  <si>
    <t xml:space="preserve">NY, USA</t>
  </si>
  <si>
    <t xml:space="preserve">Frosted 2/4/8 oz – CLEAR, not amber</t>
  </si>
  <si>
    <t xml:space="preserve">NO (not amber)</t>
  </si>
  <si>
    <t xml:space="preserve">4oz $1.41–2.79 · 8oz $2.30</t>
  </si>
  <si>
    <t xml:space="preserve">Induction caps available</t>
  </si>
  <si>
    <t xml:space="preserve">FAILS – not amber</t>
  </si>
  <si>
    <t xml:space="preserve">https://www.sks-bottle.com/product/10768.html</t>
  </si>
  <si>
    <t xml:space="preserve">Uline, Richards, Fillmore, Containers &amp; Pkg, Specialty Bottle, TricorBraun</t>
  </si>
  <si>
    <t xml:space="preserve">Plain amber only</t>
  </si>
  <si>
    <t xml:space="preserve">FAILS – no frosted amber</t>
  </si>
  <si>
    <t xml:space="preserve">Next steps before ordering</t>
  </si>
  <si>
    <t xml:space="preserve">#</t>
  </si>
  <si>
    <t xml:space="preserve">Owner</t>
  </si>
  <si>
    <t xml:space="preserve">Action</t>
  </si>
  <si>
    <t xml:space="preserve">1</t>
  </si>
  <si>
    <t xml:space="preserve">Get your current manufacturer's bottle + lid cost and enter it on the Inputs sheet (B10). Every comparison updates automatically.</t>
  </si>
  <si>
    <t xml:space="preserve">2</t>
  </si>
  <si>
    <t xml:space="preserve">Ask your manufacturer: (a) Will they fill customer-supplied jars, or must they source them? (b) Can their line handle straight-sided jars? (c) How do they tamper-seal glass today: induction, PS liner or shrink band?</t>
  </si>
  <si>
    <t xml:space="preserve">3</t>
  </si>
  <si>
    <t xml:space="preserve">Procurement</t>
  </si>
  <si>
    <t xml:space="preserve">Request written quotes delivered to your postal code, plus samples of all 3 sizes, from Burch, Fillmore and Containers &amp; Packaging Supply.</t>
  </si>
  <si>
    <t xml:space="preserve">4</t>
  </si>
  <si>
    <t xml:space="preserve">Request a 2,000+ quote from Richards Packaging, including caps, and ask whether they can source a 6 oz amber.</t>
  </si>
  <si>
    <t xml:space="preserve">5</t>
  </si>
  <si>
    <t xml:space="preserve">Frosted: request spray-frost quotes from Stanpac Ink (ON) and O.Berk, and RFQs plus samples from 2–3 Chinese factories (Xuzhou Das, Jiangxi Forever, VANJOIN). Specify matched necks and food-contact certificates.</t>
  </si>
  <si>
    <t xml:space="preserve">6</t>
  </si>
  <si>
    <t xml:space="preserve">Owner + designer</t>
  </si>
  <si>
    <t xml:space="preserve">Fill test: put real capsules in sample 4 oz, 6 oz and 9 oz jars to confirm the Capsule Sizing sheet, and decide on 2 jar sizes (4 + 9 oz) or 3 (4 + 6 + 9 oz).</t>
  </si>
  <si>
    <t xml:space="preserve">7</t>
  </si>
  <si>
    <t xml:space="preserve">Confirm the duty rate on HS 7010.90 glass jars, and any surtaxes, with a customs broker before ordering from the US or China.</t>
  </si>
  <si>
    <t xml:space="preserve">8</t>
  </si>
  <si>
    <t xml:space="preserve">Confirm the tamper-evident seal approach for NHPs. Most stock induction liners are made for plastic and will NOT bond to glass. Options: a glass-rated induction liner, or a PS22 pressure-sensitive liner plus a shrink band.</t>
  </si>
  <si>
    <t xml:space="preserve">Data caveats</t>
  </si>
  <si>
    <t xml:space="preserve">• The research environment could not open supplier websites directly (network policy). Prices come from search-engine copies of the product pages and some may be stale. Treat every price as 'to verify' until quoted.</t>
  </si>
  <si>
    <t xml:space="preserve">• Freight, brokerage, frosting and China prices are estimates (labelled on the Inputs sheet). Replace them with real quotes; the whole workbook recalculates.</t>
  </si>
  <si>
    <t xml:space="preserve">• Jar volumes are nominal. Capsule fit is modelled (see Capsule Sizing) and must be confirmed with a fill test.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</si>
</sst>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\$#,##0;&quot;($&quot;#,##0\);\-"/>
    <numFmt numFmtId="167" formatCode="#,##0"/>
    <numFmt numFmtId="168" formatCode="0"/>
    <numFmt numFmtId="169" formatCode="0.00"/>
    <numFmt numFmtId="170" formatCode="0%"/>
    <numFmt numFmtId="171" formatCode="0.0"/>
    <numFmt numFmtId="172" formatCode="0.000"/>
    <numFmt numFmtId="173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5A3E1B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7A4E1D"/>
        <bgColor rgb="FF5A3E1B"/>
      </patternFill>
    </fill>
    <fill>
      <patternFill patternType="solid">
        <fgColor rgb="FFA86B2D"/>
        <bgColor rgb="FF7A4E1D"/>
      </patternFill>
    </fill>
    <fill>
      <patternFill patternType="solid">
        <fgColor rgb="FFF3E5D3"/>
        <bgColor rgb="FFFFF2CC"/>
      </patternFill>
    </fill>
    <fill>
      <patternFill patternType="solid">
        <fgColor rgb="FFFFF2CC"/>
        <bgColor rgb="FFF3E5D3"/>
      </patternFill>
    </fill>
    <fill>
      <patternFill patternType="solid">
        <fgColor rgb="FFE2EFDA"/>
        <bgColor rgb="FFF3E5D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6B2D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F3E5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7A4E1D"/>
      <rgbColor rgb="FF993366"/>
      <rgbColor rgb="FF333399"/>
      <rgbColor rgb="FF5A3E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6" min="4" style="0" width="14"/>
    <col collapsed="false" customWidth="true" hidden="false" outlineLevel="0" max="7" min="7" style="0" width="18"/>
    <col collapsed="false" customWidth="true" hidden="false" outlineLevel="0" max="8" min="8" style="0" width="44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C4" s="4" t="n">
        <f aca="false">Inputs!$B$11</f>
        <v>3.44</v>
      </c>
      <c r="D4" s="2" t="s">
        <v>3</v>
      </c>
    </row>
    <row r="6" customFormat="false" ht="15" hidden="false" customHeight="fals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</row>
    <row r="7" customFormat="false" ht="30" hidden="false" customHeight="true" outlineLevel="0" collapsed="false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6" t="s">
        <v>10</v>
      </c>
      <c r="G7" s="6" t="s">
        <v>11</v>
      </c>
      <c r="H7" s="6" t="s">
        <v>12</v>
      </c>
      <c r="I7" s="6" t="s">
        <v>13</v>
      </c>
    </row>
    <row r="8" customFormat="false" ht="63.75" hidden="false" customHeight="true" outlineLevel="0" collapsed="false">
      <c r="A8" s="7" t="s">
        <v>14</v>
      </c>
      <c r="B8" s="7" t="s">
        <v>15</v>
      </c>
      <c r="C8" s="8" t="s">
        <v>16</v>
      </c>
      <c r="D8" s="9" t="n">
        <f aca="false">'Regular Finish – Top 3'!P10</f>
        <v>1.11600833333333</v>
      </c>
      <c r="E8" s="10" t="n">
        <f aca="false">'Regular Finish – Top 3'!Q10</f>
        <v>6696.05</v>
      </c>
      <c r="F8" s="11" t="n">
        <f aca="false">C$4-D8</f>
        <v>2.32399166666667</v>
      </c>
      <c r="G8" s="8" t="s">
        <v>17</v>
      </c>
      <c r="H8" s="8" t="s">
        <v>18</v>
      </c>
      <c r="I8" s="8" t="s">
        <v>19</v>
      </c>
    </row>
    <row r="9" customFormat="false" ht="63.75" hidden="false" customHeight="true" outlineLevel="0" collapsed="false">
      <c r="A9" s="7" t="s">
        <v>20</v>
      </c>
      <c r="B9" s="7" t="s">
        <v>21</v>
      </c>
      <c r="C9" s="8" t="s">
        <v>16</v>
      </c>
      <c r="D9" s="9" t="n">
        <f aca="false">'Regular Finish – Top 3'!P19</f>
        <v>1.23008833333333</v>
      </c>
      <c r="E9" s="10" t="n">
        <f aca="false">'Regular Finish – Top 3'!Q19</f>
        <v>7380.53</v>
      </c>
      <c r="F9" s="11" t="n">
        <f aca="false">C$4-D9</f>
        <v>2.20991166666667</v>
      </c>
      <c r="G9" s="8" t="s">
        <v>17</v>
      </c>
      <c r="H9" s="8" t="s">
        <v>22</v>
      </c>
      <c r="I9" s="8" t="s">
        <v>23</v>
      </c>
    </row>
    <row r="10" customFormat="false" ht="63.75" hidden="false" customHeight="true" outlineLevel="0" collapsed="false">
      <c r="A10" s="7" t="s">
        <v>24</v>
      </c>
      <c r="B10" s="7" t="s">
        <v>25</v>
      </c>
      <c r="C10" s="8" t="s">
        <v>26</v>
      </c>
      <c r="D10" s="9" t="n">
        <f aca="false">'Regular Finish – Top 3'!P28</f>
        <v>1.29666666666667</v>
      </c>
      <c r="E10" s="10" t="n">
        <f aca="false">'Regular Finish – Top 3'!Q28</f>
        <v>7780</v>
      </c>
      <c r="F10" s="11" t="n">
        <f aca="false">C$4-D10</f>
        <v>2.14333333333333</v>
      </c>
      <c r="G10" s="8" t="s">
        <v>27</v>
      </c>
      <c r="H10" s="8" t="s">
        <v>28</v>
      </c>
      <c r="I10" s="8" t="s">
        <v>29</v>
      </c>
    </row>
    <row r="11" customFormat="false" ht="63.75" hidden="false" customHeight="true" outlineLevel="0" collapsed="false">
      <c r="A11" s="7" t="s">
        <v>30</v>
      </c>
      <c r="B11" s="7" t="s">
        <v>31</v>
      </c>
      <c r="C11" s="8" t="s">
        <v>32</v>
      </c>
      <c r="D11" s="9" t="n">
        <f aca="false">'Regular Finish – Top 3'!P37</f>
        <v>2.19</v>
      </c>
      <c r="E11" s="10" t="n">
        <f aca="false">'Regular Finish – Top 3'!Q37</f>
        <v>13140</v>
      </c>
      <c r="F11" s="11" t="n">
        <f aca="false">C$4-D11</f>
        <v>1.25</v>
      </c>
      <c r="G11" s="8" t="s">
        <v>33</v>
      </c>
      <c r="H11" s="8" t="s">
        <v>34</v>
      </c>
      <c r="I11" s="8" t="s">
        <v>35</v>
      </c>
    </row>
    <row r="13" customFormat="false" ht="15" hidden="false" customHeight="false" outlineLevel="0" collapsed="false">
      <c r="A13" s="5" t="s">
        <v>36</v>
      </c>
      <c r="B13" s="5"/>
      <c r="C13" s="5"/>
      <c r="D13" s="5"/>
      <c r="E13" s="5"/>
      <c r="F13" s="5"/>
      <c r="G13" s="5"/>
      <c r="H13" s="5"/>
      <c r="I13" s="5"/>
    </row>
    <row r="14" customFormat="false" ht="30" hidden="false" customHeight="true" outlineLevel="0" collapsed="false">
      <c r="A14" s="6" t="s">
        <v>5</v>
      </c>
      <c r="B14" s="6" t="s">
        <v>6</v>
      </c>
      <c r="C14" s="6" t="s">
        <v>7</v>
      </c>
      <c r="D14" s="6" t="s">
        <v>8</v>
      </c>
      <c r="E14" s="6" t="s">
        <v>9</v>
      </c>
      <c r="F14" s="6" t="s">
        <v>10</v>
      </c>
      <c r="G14" s="6" t="s">
        <v>11</v>
      </c>
      <c r="H14" s="6" t="s">
        <v>12</v>
      </c>
      <c r="I14" s="6" t="s">
        <v>13</v>
      </c>
    </row>
    <row r="15" customFormat="false" ht="63.75" hidden="false" customHeight="true" outlineLevel="0" collapsed="false">
      <c r="A15" s="7" t="s">
        <v>14</v>
      </c>
      <c r="B15" s="7" t="s">
        <v>37</v>
      </c>
      <c r="C15" s="8" t="s">
        <v>38</v>
      </c>
      <c r="D15" s="9" t="n">
        <f aca="false">'Frosted Finish – Top 3'!P10</f>
        <v>1.0131</v>
      </c>
      <c r="E15" s="10" t="n">
        <f aca="false">'Frosted Finish – Top 3'!Q10</f>
        <v>6078.6</v>
      </c>
      <c r="F15" s="11" t="n">
        <f aca="false">C$4-D15</f>
        <v>2.4269</v>
      </c>
      <c r="G15" s="8" t="s">
        <v>39</v>
      </c>
      <c r="H15" s="8" t="s">
        <v>40</v>
      </c>
      <c r="I15" s="8" t="s">
        <v>41</v>
      </c>
    </row>
    <row r="16" customFormat="false" ht="63.75" hidden="false" customHeight="true" outlineLevel="0" collapsed="false">
      <c r="A16" s="7" t="s">
        <v>20</v>
      </c>
      <c r="B16" s="7" t="s">
        <v>42</v>
      </c>
      <c r="C16" s="8" t="s">
        <v>16</v>
      </c>
      <c r="D16" s="9" t="n">
        <f aca="false">'Frosted Finish – Top 3'!P19</f>
        <v>1.94100833333333</v>
      </c>
      <c r="E16" s="10" t="n">
        <f aca="false">'Frosted Finish – Top 3'!Q19</f>
        <v>11646.05</v>
      </c>
      <c r="F16" s="11" t="n">
        <f aca="false">C$4-D16</f>
        <v>1.49899166666667</v>
      </c>
      <c r="G16" s="8" t="s">
        <v>43</v>
      </c>
      <c r="H16" s="8" t="s">
        <v>44</v>
      </c>
      <c r="I16" s="8" t="s">
        <v>45</v>
      </c>
    </row>
    <row r="17" customFormat="false" ht="63.75" hidden="false" customHeight="true" outlineLevel="0" collapsed="false">
      <c r="A17" s="7" t="s">
        <v>24</v>
      </c>
      <c r="B17" s="7" t="s">
        <v>46</v>
      </c>
      <c r="C17" s="8" t="s">
        <v>26</v>
      </c>
      <c r="D17" s="9" t="n">
        <f aca="false">'Frosted Finish – Top 3'!P28</f>
        <v>2.2754</v>
      </c>
      <c r="E17" s="10" t="n">
        <f aca="false">'Frosted Finish – Top 3'!Q28</f>
        <v>13652.4</v>
      </c>
      <c r="F17" s="11" t="n">
        <f aca="false">C$4-D17</f>
        <v>1.1646</v>
      </c>
      <c r="G17" s="8" t="s">
        <v>47</v>
      </c>
      <c r="H17" s="8" t="s">
        <v>48</v>
      </c>
      <c r="I17" s="8" t="s">
        <v>49</v>
      </c>
    </row>
    <row r="18" customFormat="false" ht="63.75" hidden="false" customHeight="true" outlineLevel="0" collapsed="false">
      <c r="A18" s="7" t="s">
        <v>30</v>
      </c>
      <c r="B18" s="7" t="s">
        <v>50</v>
      </c>
      <c r="C18" s="8" t="s">
        <v>51</v>
      </c>
      <c r="D18" s="9" t="n">
        <f aca="false">'Frosted Finish – Top 3'!P37</f>
        <v>1.85493261904762</v>
      </c>
      <c r="E18" s="10" t="n">
        <f aca="false">'Frosted Finish – Top 3'!Q37</f>
        <v>11129.5957142857</v>
      </c>
      <c r="F18" s="11" t="n">
        <f aca="false">C$4-D18</f>
        <v>1.58506738095238</v>
      </c>
      <c r="G18" s="8" t="s">
        <v>52</v>
      </c>
      <c r="H18" s="8" t="s">
        <v>53</v>
      </c>
      <c r="I18" s="8" t="s">
        <v>54</v>
      </c>
    </row>
    <row r="20" customFormat="false" ht="15" hidden="false" customHeight="false" outlineLevel="0" collapsed="false">
      <c r="A20" s="3" t="s">
        <v>55</v>
      </c>
      <c r="D20" s="12" t="n">
        <f aca="false">D16-D8</f>
        <v>0.825</v>
      </c>
      <c r="E20" s="13" t="n">
        <f aca="false">E16-E8</f>
        <v>4950</v>
      </c>
      <c r="F20" s="2" t="s">
        <v>56</v>
      </c>
    </row>
    <row r="22" customFormat="false" ht="15" hidden="false" customHeight="false" outlineLevel="0" collapsed="false">
      <c r="A22" s="3" t="s">
        <v>57</v>
      </c>
    </row>
    <row r="23" customFormat="false" ht="15" hidden="false" customHeight="false" outlineLevel="0" collapsed="false">
      <c r="A23" s="14" t="s">
        <v>58</v>
      </c>
    </row>
    <row r="24" customFormat="false" ht="15" hidden="false" customHeight="false" outlineLevel="0" collapsed="false">
      <c r="A24" s="14" t="s">
        <v>59</v>
      </c>
    </row>
    <row r="25" customFormat="false" ht="15" hidden="false" customHeight="false" outlineLevel="0" collapsed="false">
      <c r="A25" s="14" t="s">
        <v>60</v>
      </c>
    </row>
    <row r="26" customFormat="false" ht="15" hidden="false" customHeight="false" outlineLevel="0" collapsed="false">
      <c r="A26" s="14" t="s">
        <v>61</v>
      </c>
    </row>
    <row r="27" customFormat="false" ht="15" hidden="false" customHeight="false" outlineLevel="0" collapsed="false">
      <c r="A27" s="14" t="s">
        <v>62</v>
      </c>
    </row>
    <row r="28" customFormat="false" ht="15" hidden="false" customHeight="false" outlineLevel="0" collapsed="false">
      <c r="A28" s="14" t="s">
        <v>63</v>
      </c>
    </row>
    <row r="29" customFormat="false" ht="15" hidden="false" customHeight="false" outlineLevel="0" collapsed="false">
      <c r="A29" s="14" t="s">
        <v>64</v>
      </c>
    </row>
    <row r="30" customFormat="false" ht="15" hidden="false" customHeight="false" outlineLevel="0" collapsed="false">
      <c r="A30" s="14" t="s">
        <v>65</v>
      </c>
    </row>
  </sheetData>
  <mergeCells count="2">
    <mergeCell ref="A6:I6"/>
    <mergeCell ref="A13:I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67</v>
      </c>
    </row>
    <row r="4" customFormat="false" ht="15" hidden="false" customHeight="false" outlineLevel="0" collapsed="false">
      <c r="A4" s="14" t="s">
        <v>68</v>
      </c>
      <c r="B4" s="15" t="n">
        <v>2000</v>
      </c>
      <c r="C4" s="16" t="s">
        <v>69</v>
      </c>
    </row>
    <row r="5" customFormat="false" ht="15" hidden="false" customHeight="false" outlineLevel="0" collapsed="false">
      <c r="A5" s="14" t="s">
        <v>70</v>
      </c>
      <c r="B5" s="17" t="n">
        <v>3</v>
      </c>
      <c r="C5" s="16" t="s">
        <v>71</v>
      </c>
    </row>
    <row r="6" customFormat="false" ht="15" hidden="false" customHeight="false" outlineLevel="0" collapsed="false">
      <c r="A6" s="14" t="s">
        <v>72</v>
      </c>
      <c r="B6" s="18" t="n">
        <v>1.38</v>
      </c>
      <c r="C6" s="16" t="s">
        <v>73</v>
      </c>
    </row>
    <row r="7" customFormat="false" ht="15" hidden="false" customHeight="false" outlineLevel="0" collapsed="false">
      <c r="A7" s="14" t="s">
        <v>74</v>
      </c>
      <c r="B7" s="19" t="n">
        <v>3.74</v>
      </c>
      <c r="C7" s="16" t="s">
        <v>75</v>
      </c>
    </row>
    <row r="8" customFormat="false" ht="15" hidden="false" customHeight="false" outlineLevel="0" collapsed="false">
      <c r="A8" s="14" t="s">
        <v>76</v>
      </c>
      <c r="B8" s="19" t="n">
        <v>0.3</v>
      </c>
      <c r="C8" s="16" t="s">
        <v>77</v>
      </c>
    </row>
    <row r="9" customFormat="false" ht="22.35" hidden="false" customHeight="false" outlineLevel="0" collapsed="false">
      <c r="A9" s="14" t="s">
        <v>78</v>
      </c>
      <c r="B9" s="20" t="n">
        <f aca="false">B7-B8</f>
        <v>3.44</v>
      </c>
      <c r="C9" s="16" t="s">
        <v>79</v>
      </c>
    </row>
    <row r="10" customFormat="false" ht="15" hidden="false" customHeight="false" outlineLevel="0" collapsed="false">
      <c r="A10" s="14" t="s">
        <v>80</v>
      </c>
      <c r="B10" s="19"/>
      <c r="C10" s="16" t="s">
        <v>81</v>
      </c>
    </row>
    <row r="11" customFormat="false" ht="15" hidden="false" customHeight="false" outlineLevel="0" collapsed="false">
      <c r="A11" s="14" t="s">
        <v>82</v>
      </c>
      <c r="B11" s="20" t="n">
        <f aca="false">IF(B10="",B9,B10)</f>
        <v>3.44</v>
      </c>
      <c r="C11" s="16" t="s">
        <v>83</v>
      </c>
    </row>
    <row r="13" customFormat="false" ht="15" hidden="false" customHeight="false" outlineLevel="0" collapsed="false">
      <c r="A13" s="3" t="s">
        <v>84</v>
      </c>
    </row>
    <row r="14" customFormat="false" ht="15" hidden="false" customHeight="false" outlineLevel="0" collapsed="false">
      <c r="A14" s="14" t="s">
        <v>85</v>
      </c>
      <c r="B14" s="21" t="n">
        <v>1050</v>
      </c>
      <c r="C14" s="16" t="s">
        <v>86</v>
      </c>
    </row>
    <row r="15" customFormat="false" ht="15" hidden="false" customHeight="false" outlineLevel="0" collapsed="false">
      <c r="A15" s="14" t="s">
        <v>87</v>
      </c>
      <c r="B15" s="21" t="n">
        <v>225</v>
      </c>
      <c r="C15" s="16" t="s">
        <v>88</v>
      </c>
    </row>
    <row r="16" customFormat="false" ht="15" hidden="false" customHeight="false" outlineLevel="0" collapsed="false">
      <c r="A16" s="14" t="s">
        <v>89</v>
      </c>
      <c r="B16" s="21" t="n">
        <v>400</v>
      </c>
      <c r="C16" s="16" t="s">
        <v>90</v>
      </c>
    </row>
    <row r="17" customFormat="false" ht="15" hidden="false" customHeight="false" outlineLevel="0" collapsed="false">
      <c r="A17" s="14" t="s">
        <v>91</v>
      </c>
      <c r="B17" s="21" t="n">
        <v>1850</v>
      </c>
      <c r="C17" s="16" t="s">
        <v>92</v>
      </c>
    </row>
    <row r="18" customFormat="false" ht="15" hidden="false" customHeight="false" outlineLevel="0" collapsed="false">
      <c r="A18" s="14" t="s">
        <v>93</v>
      </c>
      <c r="B18" s="22" t="n">
        <v>0</v>
      </c>
      <c r="C18" s="16" t="s">
        <v>94</v>
      </c>
    </row>
    <row r="19" customFormat="false" ht="15" hidden="false" customHeight="false" outlineLevel="0" collapsed="false">
      <c r="A19" s="14" t="s">
        <v>95</v>
      </c>
      <c r="B19" s="21" t="n">
        <v>600</v>
      </c>
      <c r="C19" s="16" t="s">
        <v>96</v>
      </c>
    </row>
    <row r="21" customFormat="false" ht="15" hidden="false" customHeight="false" outlineLevel="0" collapsed="false">
      <c r="A21" s="3" t="s">
        <v>97</v>
      </c>
    </row>
    <row r="22" customFormat="false" ht="15" hidden="false" customHeight="false" outlineLevel="0" collapsed="false">
      <c r="A22" s="14" t="s">
        <v>98</v>
      </c>
      <c r="B22" s="19" t="n">
        <v>0.45</v>
      </c>
      <c r="C22" s="16" t="s">
        <v>99</v>
      </c>
    </row>
    <row r="23" customFormat="false" ht="15" hidden="false" customHeight="false" outlineLevel="0" collapsed="false">
      <c r="A23" s="14" t="s">
        <v>100</v>
      </c>
      <c r="B23" s="21" t="n">
        <v>650</v>
      </c>
      <c r="C23" s="16" t="s">
        <v>101</v>
      </c>
    </row>
    <row r="24" customFormat="false" ht="15" hidden="false" customHeight="false" outlineLevel="0" collapsed="false">
      <c r="A24" s="14" t="s">
        <v>102</v>
      </c>
      <c r="B24" s="21" t="n">
        <v>300</v>
      </c>
      <c r="C24" s="16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3"/>
    <col collapsed="false" customWidth="true" hidden="false" outlineLevel="0" max="9" min="9" style="0" width="22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15" hidden="false" customHeight="false" outlineLevel="0" collapsed="false">
      <c r="A4" s="3" t="s">
        <v>105</v>
      </c>
    </row>
    <row r="5" customFormat="false" ht="42" hidden="false" customHeight="true" outlineLevel="0" collapsed="false">
      <c r="A5" s="23" t="s">
        <v>106</v>
      </c>
      <c r="B5" s="23" t="s">
        <v>107</v>
      </c>
      <c r="C5" s="23" t="s">
        <v>108</v>
      </c>
      <c r="D5" s="23" t="s">
        <v>109</v>
      </c>
      <c r="E5" s="23" t="s">
        <v>110</v>
      </c>
    </row>
    <row r="6" customFormat="false" ht="15" hidden="false" customHeight="false" outlineLevel="0" collapsed="false">
      <c r="A6" s="24" t="s">
        <v>111</v>
      </c>
      <c r="B6" s="25" t="n">
        <v>21.7</v>
      </c>
      <c r="C6" s="18" t="n">
        <v>7.65</v>
      </c>
      <c r="D6" s="26" t="n">
        <f aca="false">(PI()*(C6/2)^2*(B6-C6)+4/3*PI()*(C6/2)^3)/1000</f>
        <v>0.88020033593373</v>
      </c>
      <c r="E6" s="27" t="n">
        <f aca="false">D6/$B$10*(1+$B$11)</f>
        <v>1.84041888422507</v>
      </c>
    </row>
    <row r="7" customFormat="false" ht="15" hidden="false" customHeight="false" outlineLevel="0" collapsed="false">
      <c r="A7" s="24" t="s">
        <v>112</v>
      </c>
      <c r="B7" s="25" t="n">
        <v>23.3</v>
      </c>
      <c r="C7" s="18" t="n">
        <v>8.53</v>
      </c>
      <c r="D7" s="26" t="n">
        <f aca="false">(PI()*(C7/2)^2*(B7-C7)+4/3*PI()*(C7/2)^3)/1000</f>
        <v>1.16902234447664</v>
      </c>
      <c r="E7" s="27" t="n">
        <f aca="false">D7/$B$10*(1+$B$11)</f>
        <v>2.44431944754206</v>
      </c>
    </row>
    <row r="9" customFormat="false" ht="15" hidden="false" customHeight="false" outlineLevel="0" collapsed="false">
      <c r="A9" s="3" t="s">
        <v>113</v>
      </c>
    </row>
    <row r="10" customFormat="false" ht="15" hidden="false" customHeight="false" outlineLevel="0" collapsed="false">
      <c r="A10" s="14" t="s">
        <v>114</v>
      </c>
      <c r="B10" s="18" t="n">
        <v>0.55</v>
      </c>
      <c r="C10" s="2" t="s">
        <v>115</v>
      </c>
    </row>
    <row r="11" customFormat="false" ht="15" hidden="false" customHeight="false" outlineLevel="0" collapsed="false">
      <c r="A11" s="14" t="s">
        <v>116</v>
      </c>
      <c r="B11" s="22" t="n">
        <v>0.15</v>
      </c>
      <c r="C11" s="2" t="s">
        <v>117</v>
      </c>
    </row>
    <row r="13" customFormat="false" ht="15" hidden="false" customHeight="false" outlineLevel="0" collapsed="false">
      <c r="A13" s="3" t="s">
        <v>118</v>
      </c>
    </row>
    <row r="14" customFormat="false" ht="15" hidden="false" customHeight="false" outlineLevel="0" collapsed="false">
      <c r="A14" s="28" t="s">
        <v>119</v>
      </c>
      <c r="B14" s="28" t="s">
        <v>120</v>
      </c>
      <c r="C14" s="28" t="s">
        <v>121</v>
      </c>
    </row>
    <row r="15" customFormat="false" ht="15" hidden="false" customHeight="false" outlineLevel="0" collapsed="false">
      <c r="A15" s="24" t="s">
        <v>122</v>
      </c>
      <c r="B15" s="17" t="n">
        <v>118</v>
      </c>
      <c r="C15" s="29" t="s">
        <v>123</v>
      </c>
      <c r="D15" s="2" t="s">
        <v>124</v>
      </c>
    </row>
    <row r="16" customFormat="false" ht="15" hidden="false" customHeight="false" outlineLevel="0" collapsed="false">
      <c r="A16" s="24" t="s">
        <v>125</v>
      </c>
      <c r="B16" s="17" t="n">
        <v>177</v>
      </c>
      <c r="C16" s="29" t="s">
        <v>126</v>
      </c>
    </row>
    <row r="17" customFormat="false" ht="15" hidden="false" customHeight="false" outlineLevel="0" collapsed="false">
      <c r="A17" s="24" t="s">
        <v>127</v>
      </c>
      <c r="B17" s="17" t="n">
        <v>237</v>
      </c>
      <c r="C17" s="29" t="s">
        <v>128</v>
      </c>
    </row>
    <row r="18" customFormat="false" ht="15" hidden="false" customHeight="false" outlineLevel="0" collapsed="false">
      <c r="A18" s="24" t="s">
        <v>129</v>
      </c>
      <c r="B18" s="17" t="n">
        <v>266</v>
      </c>
      <c r="C18" s="29" t="s">
        <v>128</v>
      </c>
    </row>
    <row r="20" customFormat="false" ht="15" hidden="false" customHeight="false" outlineLevel="0" collapsed="false">
      <c r="A20" s="3" t="s">
        <v>130</v>
      </c>
    </row>
    <row r="21" customFormat="false" ht="30" hidden="false" customHeight="true" outlineLevel="0" collapsed="false">
      <c r="A21" s="23" t="s">
        <v>131</v>
      </c>
      <c r="B21" s="23" t="s">
        <v>106</v>
      </c>
      <c r="C21" s="23" t="s">
        <v>132</v>
      </c>
      <c r="D21" s="23" t="s">
        <v>133</v>
      </c>
      <c r="E21" s="23" t="s">
        <v>134</v>
      </c>
      <c r="F21" s="23" t="s">
        <v>135</v>
      </c>
      <c r="G21" s="23" t="s">
        <v>136</v>
      </c>
      <c r="H21" s="23" t="s">
        <v>137</v>
      </c>
      <c r="I21" s="23" t="s">
        <v>138</v>
      </c>
    </row>
    <row r="22" customFormat="false" ht="15" hidden="false" customHeight="false" outlineLevel="0" collapsed="false">
      <c r="A22" s="29" t="s">
        <v>139</v>
      </c>
      <c r="B22" s="30" t="s">
        <v>111</v>
      </c>
      <c r="C22" s="17" t="n">
        <v>30</v>
      </c>
      <c r="D22" s="31" t="n">
        <f aca="false">C22*INDEX($E$6:$E$7,MATCH(B22,$A$6:$A$7,0))</f>
        <v>55.2125665267522</v>
      </c>
      <c r="E22" s="32" t="n">
        <f aca="false">$D22/$B$15</f>
        <v>0.467903106158917</v>
      </c>
      <c r="F22" s="32" t="n">
        <f aca="false">$D22/$B$16</f>
        <v>0.311935404105944</v>
      </c>
      <c r="G22" s="32" t="n">
        <f aca="false">$D22/$B$17</f>
        <v>0.232964415724693</v>
      </c>
      <c r="H22" s="32" t="n">
        <f aca="false">$D22/$B$18</f>
        <v>0.207566039574256</v>
      </c>
      <c r="I22" s="24" t="str">
        <f aca="false">IF(E22&lt;=0.9,"4 oz",IF(F22&lt;=0.9,"6 oz",IF(G22&lt;=0.9,"8 oz",IF(H22&lt;=0.9,"9 oz","Larger than 9 oz"))))</f>
        <v>4 oz</v>
      </c>
    </row>
    <row r="23" customFormat="false" ht="15" hidden="false" customHeight="false" outlineLevel="0" collapsed="false">
      <c r="A23" s="29" t="s">
        <v>140</v>
      </c>
      <c r="B23" s="30" t="s">
        <v>112</v>
      </c>
      <c r="C23" s="17" t="n">
        <v>60</v>
      </c>
      <c r="D23" s="31" t="n">
        <f aca="false">C23*INDEX($E$6:$E$7,MATCH(B23,$A$6:$A$7,0))</f>
        <v>146.659166852524</v>
      </c>
      <c r="E23" s="32" t="n">
        <f aca="false">$D23/$B$15</f>
        <v>1.24287429536037</v>
      </c>
      <c r="F23" s="32" t="n">
        <f aca="false">$D23/$B$16</f>
        <v>0.82858286357358</v>
      </c>
      <c r="G23" s="32" t="n">
        <f aca="false">$D23/$B$17</f>
        <v>0.618815050010648</v>
      </c>
      <c r="H23" s="32" t="n">
        <f aca="false">$D23/$B$18</f>
        <v>0.551350251325277</v>
      </c>
      <c r="I23" s="24" t="str">
        <f aca="false">IF(E23&lt;=0.9,"4 oz",IF(F23&lt;=0.9,"6 oz",IF(G23&lt;=0.9,"8 oz",IF(H23&lt;=0.9,"9 oz","Larger than 9 oz"))))</f>
        <v>6 oz</v>
      </c>
    </row>
    <row r="24" customFormat="false" ht="15" hidden="false" customHeight="false" outlineLevel="0" collapsed="false">
      <c r="A24" s="29" t="s">
        <v>141</v>
      </c>
      <c r="B24" s="30" t="s">
        <v>111</v>
      </c>
      <c r="C24" s="17" t="n">
        <v>60</v>
      </c>
      <c r="D24" s="31" t="n">
        <f aca="false">C24*INDEX($E$6:$E$7,MATCH(B24,$A$6:$A$7,0))</f>
        <v>110.425133053504</v>
      </c>
      <c r="E24" s="32" t="n">
        <f aca="false">$D24/$B$15</f>
        <v>0.935806212317833</v>
      </c>
      <c r="F24" s="32" t="n">
        <f aca="false">$D24/$B$16</f>
        <v>0.623870808211889</v>
      </c>
      <c r="G24" s="32" t="n">
        <f aca="false">$D24/$B$17</f>
        <v>0.465928831449385</v>
      </c>
      <c r="H24" s="32" t="n">
        <f aca="false">$D24/$B$18</f>
        <v>0.415132079148513</v>
      </c>
      <c r="I24" s="24" t="str">
        <f aca="false">IF(E24&lt;=0.9,"4 oz",IF(F24&lt;=0.9,"6 oz",IF(G24&lt;=0.9,"8 oz",IF(H24&lt;=0.9,"9 oz","Larger than 9 oz"))))</f>
        <v>6 oz</v>
      </c>
    </row>
    <row r="25" customFormat="false" ht="15" hidden="false" customHeight="false" outlineLevel="0" collapsed="false">
      <c r="A25" s="29" t="s">
        <v>142</v>
      </c>
      <c r="B25" s="30" t="s">
        <v>112</v>
      </c>
      <c r="C25" s="17" t="n">
        <v>90</v>
      </c>
      <c r="D25" s="31" t="n">
        <f aca="false">C25*INDEX($E$6:$E$7,MATCH(B25,$A$6:$A$7,0))</f>
        <v>219.988750278785</v>
      </c>
      <c r="E25" s="32" t="n">
        <f aca="false">$D25/$B$15</f>
        <v>1.86431144304055</v>
      </c>
      <c r="F25" s="32" t="n">
        <f aca="false">$D25/$B$16</f>
        <v>1.24287429536037</v>
      </c>
      <c r="G25" s="32" t="n">
        <f aca="false">$D25/$B$17</f>
        <v>0.928222575015972</v>
      </c>
      <c r="H25" s="32" t="n">
        <f aca="false">$D25/$B$18</f>
        <v>0.827025376987915</v>
      </c>
      <c r="I25" s="24" t="str">
        <f aca="false">IF(E25&lt;=0.9,"4 oz",IF(F25&lt;=0.9,"6 oz",IF(G25&lt;=0.9,"8 oz",IF(H25&lt;=0.9,"9 oz","Larger than 9 oz"))))</f>
        <v>9 oz</v>
      </c>
    </row>
    <row r="26" customFormat="false" ht="15" hidden="false" customHeight="false" outlineLevel="0" collapsed="false">
      <c r="A26" s="29" t="s">
        <v>143</v>
      </c>
      <c r="B26" s="30" t="s">
        <v>111</v>
      </c>
      <c r="C26" s="17" t="n">
        <v>90</v>
      </c>
      <c r="D26" s="31" t="n">
        <f aca="false">C26*INDEX($E$6:$E$7,MATCH(B26,$A$6:$A$7,0))</f>
        <v>165.637699580256</v>
      </c>
      <c r="E26" s="32" t="n">
        <f aca="false">$D26/$B$15</f>
        <v>1.40370931847675</v>
      </c>
      <c r="F26" s="32" t="n">
        <f aca="false">$D26/$B$16</f>
        <v>0.935806212317833</v>
      </c>
      <c r="G26" s="32" t="n">
        <f aca="false">$D26/$B$17</f>
        <v>0.698893247174078</v>
      </c>
      <c r="H26" s="32" t="n">
        <f aca="false">$D26/$B$18</f>
        <v>0.622698118722769</v>
      </c>
      <c r="I26" s="24" t="str">
        <f aca="false">IF(E26&lt;=0.9,"4 oz",IF(F26&lt;=0.9,"6 oz",IF(G26&lt;=0.9,"8 oz",IF(H26&lt;=0.9,"9 oz","Larger than 9 oz"))))</f>
        <v>8 oz</v>
      </c>
    </row>
    <row r="28" customFormat="false" ht="15" hidden="false" customHeight="false" outlineLevel="0" collapsed="false">
      <c r="A28" s="3" t="s">
        <v>144</v>
      </c>
    </row>
    <row r="29" customFormat="false" ht="15" hidden="false" customHeight="false" outlineLevel="0" collapsed="false">
      <c r="A29" s="14" t="s">
        <v>145</v>
      </c>
    </row>
    <row r="30" customFormat="false" ht="15" hidden="false" customHeight="false" outlineLevel="0" collapsed="false">
      <c r="A30" s="14" t="s">
        <v>146</v>
      </c>
    </row>
    <row r="31" customFormat="false" ht="15" hidden="false" customHeight="false" outlineLevel="0" collapsed="false">
      <c r="A31" s="14" t="s">
        <v>147</v>
      </c>
    </row>
    <row r="32" customFormat="false" ht="15" hidden="false" customHeight="false" outlineLevel="0" collapsed="false">
      <c r="A32" s="14" t="s">
        <v>148</v>
      </c>
    </row>
    <row r="33" customFormat="false" ht="15" hidden="false" customHeight="false" outlineLevel="0" collapsed="false">
      <c r="A33" s="14" t="s">
        <v>149</v>
      </c>
    </row>
    <row r="34" customFormat="false" ht="15" hidden="false" customHeight="false" outlineLevel="0" collapsed="false">
      <c r="A34" s="14" t="s">
        <v>150</v>
      </c>
    </row>
  </sheetData>
  <conditionalFormatting sqref="E22:H26">
    <cfRule type="cellIs" priority="2" operator="greaterThan" aboveAverage="0" equalAverage="0" bottom="0" percent="0" rank="0" text="" dxfId="0">
      <formula>1</formula>
    </cfRule>
    <cfRule type="cellIs" priority="3" operator="between" aboveAverage="0" equalAverage="0" bottom="0" percent="0" rank="0" text="" dxfId="1">
      <formula>0.9</formula>
      <formula>1</formula>
    </cfRule>
    <cfRule type="cellIs" priority="4" operator="less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34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4" min="13" style="0" width="12"/>
    <col collapsed="false" customWidth="true" hidden="false" outlineLevel="0" max="15" min="15" style="0" width="14"/>
    <col collapsed="false" customWidth="true" hidden="false" outlineLevel="0" max="17" min="16" style="0" width="12"/>
    <col collapsed="false" customWidth="true" hidden="false" outlineLevel="0" max="18" min="18" style="0" width="13"/>
    <col collapsed="false" customWidth="true" hidden="false" outlineLevel="0" max="19" min="19" style="0" width="34"/>
  </cols>
  <sheetData>
    <row r="1" customFormat="false" ht="17.3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 t="s">
        <v>152</v>
      </c>
    </row>
    <row r="4" customFormat="false" ht="15" hidden="false" customHeight="false" outlineLevel="0" collapsed="false">
      <c r="A4" s="5" t="s">
        <v>153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</row>
    <row r="5" customFormat="false" ht="30" hidden="false" customHeight="true" outlineLevel="0" collapsed="false">
      <c r="A5" s="33" t="s">
        <v>154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</row>
    <row r="6" customFormat="false" ht="42" hidden="false" customHeight="true" outlineLevel="0" collapsed="false">
      <c r="A6" s="6" t="s">
        <v>155</v>
      </c>
      <c r="B6" s="6" t="s">
        <v>156</v>
      </c>
      <c r="C6" s="6" t="s">
        <v>157</v>
      </c>
      <c r="D6" s="6" t="s">
        <v>158</v>
      </c>
      <c r="E6" s="6" t="s">
        <v>159</v>
      </c>
      <c r="F6" s="6" t="s">
        <v>160</v>
      </c>
      <c r="G6" s="6" t="s">
        <v>161</v>
      </c>
      <c r="H6" s="6" t="s">
        <v>162</v>
      </c>
      <c r="I6" s="6" t="s">
        <v>163</v>
      </c>
      <c r="J6" s="6" t="s">
        <v>164</v>
      </c>
      <c r="K6" s="6" t="s">
        <v>165</v>
      </c>
      <c r="L6" s="6" t="s">
        <v>166</v>
      </c>
      <c r="M6" s="6" t="s">
        <v>167</v>
      </c>
      <c r="N6" s="6" t="s">
        <v>168</v>
      </c>
      <c r="O6" s="6" t="s">
        <v>169</v>
      </c>
      <c r="P6" s="6" t="s">
        <v>170</v>
      </c>
      <c r="Q6" s="6" t="s">
        <v>171</v>
      </c>
      <c r="R6" s="6" t="s">
        <v>172</v>
      </c>
      <c r="S6" s="6" t="s">
        <v>173</v>
      </c>
    </row>
    <row r="7" customFormat="false" ht="22.35" hidden="false" customHeight="false" outlineLevel="0" collapsed="false">
      <c r="A7" s="29" t="s">
        <v>174</v>
      </c>
      <c r="B7" s="24" t="s">
        <v>122</v>
      </c>
      <c r="C7" s="29" t="s">
        <v>175</v>
      </c>
      <c r="D7" s="29" t="s">
        <v>123</v>
      </c>
      <c r="E7" s="34" t="n">
        <f aca="false">Inputs!$B$4</f>
        <v>2000</v>
      </c>
      <c r="F7" s="35" t="s">
        <v>176</v>
      </c>
      <c r="G7" s="36" t="n">
        <v>11.45</v>
      </c>
      <c r="H7" s="17" t="n">
        <v>24</v>
      </c>
      <c r="I7" s="26" t="n">
        <f aca="false">G7/H7</f>
        <v>0.477083333333333</v>
      </c>
      <c r="J7" s="8" t="s">
        <v>177</v>
      </c>
      <c r="K7" s="37" t="n">
        <v>0.14</v>
      </c>
      <c r="L7" s="27" t="n">
        <f aca="false">IF(F7="USD",Inputs!$B$6,1)</f>
        <v>1.38</v>
      </c>
      <c r="M7" s="20" t="n">
        <f aca="false">(I7+K7)*L7*(1+Inputs!$B$18)</f>
        <v>0.851575</v>
      </c>
      <c r="N7" s="20" t="n">
        <v>0</v>
      </c>
      <c r="O7" s="20" t="n">
        <f aca="false">$O$11/SUM($E$7:$E$9)</f>
        <v>0.279</v>
      </c>
      <c r="P7" s="38" t="n">
        <f aca="false">M7+N7+O7</f>
        <v>1.130575</v>
      </c>
      <c r="Q7" s="39" t="n">
        <f aca="false">P7*E7</f>
        <v>2261.15</v>
      </c>
      <c r="R7" s="20" t="n">
        <f aca="false">Inputs!$B$11-P7</f>
        <v>2.309425</v>
      </c>
      <c r="S7" s="40" t="s">
        <v>178</v>
      </c>
    </row>
    <row r="8" customFormat="false" ht="22.35" hidden="false" customHeight="false" outlineLevel="0" collapsed="false">
      <c r="A8" s="29" t="s">
        <v>179</v>
      </c>
      <c r="B8" s="24" t="s">
        <v>125</v>
      </c>
      <c r="C8" s="29" t="s">
        <v>180</v>
      </c>
      <c r="D8" s="29" t="s">
        <v>126</v>
      </c>
      <c r="E8" s="34" t="n">
        <f aca="false">Inputs!$B$4</f>
        <v>2000</v>
      </c>
      <c r="F8" s="35" t="s">
        <v>176</v>
      </c>
      <c r="G8" s="36" t="n">
        <v>6.07</v>
      </c>
      <c r="H8" s="17" t="n">
        <v>12</v>
      </c>
      <c r="I8" s="26" t="n">
        <f aca="false">G8/H8</f>
        <v>0.505833333333333</v>
      </c>
      <c r="J8" s="8" t="s">
        <v>181</v>
      </c>
      <c r="K8" s="37" t="n">
        <v>0.11</v>
      </c>
      <c r="L8" s="27" t="n">
        <f aca="false">IF(F8="USD",Inputs!$B$6,1)</f>
        <v>1.38</v>
      </c>
      <c r="M8" s="20" t="n">
        <f aca="false">(I8+K8)*L8*(1+Inputs!$B$18)</f>
        <v>0.84985</v>
      </c>
      <c r="N8" s="20" t="n">
        <v>0</v>
      </c>
      <c r="O8" s="20" t="n">
        <f aca="false">$O$11/SUM($E$7:$E$9)</f>
        <v>0.279</v>
      </c>
      <c r="P8" s="38" t="n">
        <f aca="false">M8+N8+O8</f>
        <v>1.12885</v>
      </c>
      <c r="Q8" s="39" t="n">
        <f aca="false">P8*E8</f>
        <v>2257.7</v>
      </c>
      <c r="R8" s="20" t="n">
        <f aca="false">Inputs!$B$11-P8</f>
        <v>2.31115</v>
      </c>
      <c r="S8" s="40" t="s">
        <v>178</v>
      </c>
    </row>
    <row r="9" customFormat="false" ht="23.85" hidden="false" customHeight="false" outlineLevel="0" collapsed="false">
      <c r="A9" s="29" t="s">
        <v>182</v>
      </c>
      <c r="B9" s="24" t="s">
        <v>129</v>
      </c>
      <c r="C9" s="29" t="s">
        <v>183</v>
      </c>
      <c r="D9" s="29" t="s">
        <v>128</v>
      </c>
      <c r="E9" s="34" t="n">
        <f aca="false">Inputs!$B$4</f>
        <v>2000</v>
      </c>
      <c r="F9" s="35" t="s">
        <v>176</v>
      </c>
      <c r="G9" s="36" t="n">
        <v>5.24</v>
      </c>
      <c r="H9" s="17" t="n">
        <v>12</v>
      </c>
      <c r="I9" s="26" t="n">
        <f aca="false">G9/H9</f>
        <v>0.436666666666667</v>
      </c>
      <c r="J9" s="8" t="s">
        <v>184</v>
      </c>
      <c r="K9" s="37" t="n">
        <v>0.15</v>
      </c>
      <c r="L9" s="27" t="n">
        <f aca="false">IF(F9="USD",Inputs!$B$6,1)</f>
        <v>1.38</v>
      </c>
      <c r="M9" s="20" t="n">
        <f aca="false">(I9+K9)*L9*(1+Inputs!$B$18)</f>
        <v>0.8096</v>
      </c>
      <c r="N9" s="20" t="n">
        <v>0</v>
      </c>
      <c r="O9" s="20" t="n">
        <f aca="false">$O$11/SUM($E$7:$E$9)</f>
        <v>0.279</v>
      </c>
      <c r="P9" s="38" t="n">
        <f aca="false">M9+N9+O9</f>
        <v>1.0886</v>
      </c>
      <c r="Q9" s="39" t="n">
        <f aca="false">P9*E9</f>
        <v>2177.2</v>
      </c>
      <c r="R9" s="20" t="n">
        <f aca="false">Inputs!$B$11-P9</f>
        <v>2.3514</v>
      </c>
      <c r="S9" s="40" t="s">
        <v>185</v>
      </c>
    </row>
    <row r="10" customFormat="false" ht="15" hidden="false" customHeight="false" outlineLevel="0" collapsed="false">
      <c r="A10" s="41" t="s">
        <v>186</v>
      </c>
      <c r="B10" s="42"/>
      <c r="C10" s="42"/>
      <c r="D10" s="42"/>
      <c r="E10" s="43" t="n">
        <f aca="false">SUM(E7:E9)</f>
        <v>6000</v>
      </c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38" t="n">
        <f aca="false">Q10/E10</f>
        <v>1.11600833333333</v>
      </c>
      <c r="Q10" s="44" t="n">
        <f aca="false">SUM(Q7:Q9)</f>
        <v>6696.05</v>
      </c>
      <c r="R10" s="38" t="n">
        <f aca="false">Inputs!$B$11-P10</f>
        <v>2.32399166666667</v>
      </c>
      <c r="S10" s="42"/>
    </row>
    <row r="11" customFormat="false" ht="15" hidden="false" customHeight="false" outlineLevel="0" collapsed="false">
      <c r="A11" s="2" t="s">
        <v>187</v>
      </c>
      <c r="O11" s="39" t="n">
        <f aca="false">Inputs!$B$14*Inputs!$B$6+Inputs!$B$15</f>
        <v>1674</v>
      </c>
      <c r="P11" s="2" t="s">
        <v>188</v>
      </c>
    </row>
    <row r="13" customFormat="false" ht="15" hidden="false" customHeight="false" outlineLevel="0" collapsed="false">
      <c r="A13" s="5" t="s">
        <v>189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</row>
    <row r="14" customFormat="false" ht="30" hidden="false" customHeight="true" outlineLevel="0" collapsed="false">
      <c r="A14" s="33" t="s">
        <v>190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customFormat="false" ht="42" hidden="false" customHeight="true" outlineLevel="0" collapsed="false">
      <c r="A15" s="6" t="s">
        <v>155</v>
      </c>
      <c r="B15" s="6" t="s">
        <v>156</v>
      </c>
      <c r="C15" s="6" t="s">
        <v>157</v>
      </c>
      <c r="D15" s="6" t="s">
        <v>158</v>
      </c>
      <c r="E15" s="6" t="s">
        <v>159</v>
      </c>
      <c r="F15" s="6" t="s">
        <v>160</v>
      </c>
      <c r="G15" s="6" t="s">
        <v>161</v>
      </c>
      <c r="H15" s="6" t="s">
        <v>162</v>
      </c>
      <c r="I15" s="6" t="s">
        <v>163</v>
      </c>
      <c r="J15" s="6" t="s">
        <v>164</v>
      </c>
      <c r="K15" s="6" t="s">
        <v>165</v>
      </c>
      <c r="L15" s="6" t="s">
        <v>166</v>
      </c>
      <c r="M15" s="6" t="s">
        <v>167</v>
      </c>
      <c r="N15" s="6" t="s">
        <v>168</v>
      </c>
      <c r="O15" s="6" t="s">
        <v>169</v>
      </c>
      <c r="P15" s="6" t="s">
        <v>170</v>
      </c>
      <c r="Q15" s="6" t="s">
        <v>171</v>
      </c>
      <c r="R15" s="6" t="s">
        <v>172</v>
      </c>
      <c r="S15" s="6" t="s">
        <v>173</v>
      </c>
    </row>
    <row r="16" customFormat="false" ht="22.35" hidden="false" customHeight="false" outlineLevel="0" collapsed="false">
      <c r="A16" s="29" t="s">
        <v>174</v>
      </c>
      <c r="B16" s="24" t="s">
        <v>122</v>
      </c>
      <c r="C16" s="29" t="s">
        <v>191</v>
      </c>
      <c r="D16" s="29" t="s">
        <v>123</v>
      </c>
      <c r="E16" s="34" t="n">
        <f aca="false">Inputs!$B$4</f>
        <v>2000</v>
      </c>
      <c r="F16" s="35" t="s">
        <v>176</v>
      </c>
      <c r="G16" s="36" t="n">
        <v>12.15</v>
      </c>
      <c r="H16" s="17" t="n">
        <v>24</v>
      </c>
      <c r="I16" s="26" t="n">
        <f aca="false">G16/H16</f>
        <v>0.50625</v>
      </c>
      <c r="J16" s="8" t="s">
        <v>192</v>
      </c>
      <c r="K16" s="37" t="n">
        <v>0.1136</v>
      </c>
      <c r="L16" s="27" t="n">
        <f aca="false">IF(F16="USD",Inputs!$B$6,1)</f>
        <v>1.38</v>
      </c>
      <c r="M16" s="20" t="n">
        <f aca="false">(I16+K16)*L16*(1+Inputs!$B$18)</f>
        <v>0.855393</v>
      </c>
      <c r="N16" s="20" t="n">
        <v>0</v>
      </c>
      <c r="O16" s="20" t="n">
        <f aca="false">$O$20/SUM($E$16:$E$18)</f>
        <v>0.279</v>
      </c>
      <c r="P16" s="38" t="n">
        <f aca="false">M16+N16+O16</f>
        <v>1.134393</v>
      </c>
      <c r="Q16" s="39" t="n">
        <f aca="false">P16*E16</f>
        <v>2268.786</v>
      </c>
      <c r="R16" s="20" t="n">
        <f aca="false">Inputs!$B$11-P16</f>
        <v>2.305607</v>
      </c>
      <c r="S16" s="40" t="s">
        <v>178</v>
      </c>
    </row>
    <row r="17" customFormat="false" ht="22.35" hidden="false" customHeight="false" outlineLevel="0" collapsed="false">
      <c r="A17" s="29" t="s">
        <v>179</v>
      </c>
      <c r="B17" s="24" t="s">
        <v>125</v>
      </c>
      <c r="C17" s="29" t="s">
        <v>193</v>
      </c>
      <c r="D17" s="29" t="s">
        <v>126</v>
      </c>
      <c r="E17" s="34" t="n">
        <f aca="false">Inputs!$B$4</f>
        <v>2000</v>
      </c>
      <c r="F17" s="35" t="s">
        <v>176</v>
      </c>
      <c r="G17" s="36" t="n">
        <v>7.4</v>
      </c>
      <c r="H17" s="17" t="n">
        <v>12</v>
      </c>
      <c r="I17" s="26" t="n">
        <f aca="false">G17/H17</f>
        <v>0.616666666666667</v>
      </c>
      <c r="J17" s="8" t="s">
        <v>194</v>
      </c>
      <c r="K17" s="37" t="n">
        <v>0.1444</v>
      </c>
      <c r="L17" s="27" t="n">
        <f aca="false">IF(F17="USD",Inputs!$B$6,1)</f>
        <v>1.38</v>
      </c>
      <c r="M17" s="20" t="n">
        <f aca="false">(I17+K17)*L17*(1+Inputs!$B$18)</f>
        <v>1.050272</v>
      </c>
      <c r="N17" s="20" t="n">
        <v>0</v>
      </c>
      <c r="O17" s="20" t="n">
        <f aca="false">$O$20/SUM($E$16:$E$18)</f>
        <v>0.279</v>
      </c>
      <c r="P17" s="38" t="n">
        <f aca="false">M17+N17+O17</f>
        <v>1.329272</v>
      </c>
      <c r="Q17" s="39" t="n">
        <f aca="false">P17*E17</f>
        <v>2658.544</v>
      </c>
      <c r="R17" s="20" t="n">
        <f aca="false">Inputs!$B$11-P17</f>
        <v>2.110728</v>
      </c>
      <c r="S17" s="40" t="s">
        <v>178</v>
      </c>
    </row>
    <row r="18" customFormat="false" ht="22.35" hidden="false" customHeight="false" outlineLevel="0" collapsed="false">
      <c r="A18" s="29" t="s">
        <v>182</v>
      </c>
      <c r="B18" s="24" t="s">
        <v>129</v>
      </c>
      <c r="C18" s="29" t="s">
        <v>195</v>
      </c>
      <c r="D18" s="29" t="s">
        <v>128</v>
      </c>
      <c r="E18" s="34" t="n">
        <f aca="false">Inputs!$B$4</f>
        <v>2000</v>
      </c>
      <c r="F18" s="35" t="s">
        <v>176</v>
      </c>
      <c r="G18" s="36" t="n">
        <v>5.6</v>
      </c>
      <c r="H18" s="17" t="n">
        <v>12</v>
      </c>
      <c r="I18" s="26" t="n">
        <f aca="false">G18/H18</f>
        <v>0.466666666666667</v>
      </c>
      <c r="J18" s="8" t="s">
        <v>196</v>
      </c>
      <c r="K18" s="37" t="n">
        <v>0.22</v>
      </c>
      <c r="L18" s="27" t="n">
        <f aca="false">IF(F18="USD",Inputs!$B$6,1)</f>
        <v>1.38</v>
      </c>
      <c r="M18" s="20" t="n">
        <f aca="false">(I18+K18)*L18*(1+Inputs!$B$18)</f>
        <v>0.9476</v>
      </c>
      <c r="N18" s="20" t="n">
        <v>0</v>
      </c>
      <c r="O18" s="20" t="n">
        <f aca="false">$O$20/SUM($E$16:$E$18)</f>
        <v>0.279</v>
      </c>
      <c r="P18" s="38" t="n">
        <f aca="false">M18+N18+O18</f>
        <v>1.2266</v>
      </c>
      <c r="Q18" s="39" t="n">
        <f aca="false">P18*E18</f>
        <v>2453.2</v>
      </c>
      <c r="R18" s="20" t="n">
        <f aca="false">Inputs!$B$11-P18</f>
        <v>2.2134</v>
      </c>
      <c r="S18" s="40" t="s">
        <v>178</v>
      </c>
    </row>
    <row r="19" customFormat="false" ht="15" hidden="false" customHeight="false" outlineLevel="0" collapsed="false">
      <c r="A19" s="41" t="s">
        <v>186</v>
      </c>
      <c r="B19" s="42"/>
      <c r="C19" s="42"/>
      <c r="D19" s="42"/>
      <c r="E19" s="43" t="n">
        <f aca="false">SUM(E16:E18)</f>
        <v>6000</v>
      </c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38" t="n">
        <f aca="false">Q19/E19</f>
        <v>1.23008833333333</v>
      </c>
      <c r="Q19" s="44" t="n">
        <f aca="false">SUM(Q16:Q18)</f>
        <v>7380.53</v>
      </c>
      <c r="R19" s="38" t="n">
        <f aca="false">Inputs!$B$11-P19</f>
        <v>2.20991166666667</v>
      </c>
      <c r="S19" s="42"/>
    </row>
    <row r="20" customFormat="false" ht="15" hidden="false" customHeight="false" outlineLevel="0" collapsed="false">
      <c r="A20" s="2" t="s">
        <v>187</v>
      </c>
      <c r="O20" s="39" t="n">
        <f aca="false">Inputs!$B$14*Inputs!$B$6+Inputs!$B$15</f>
        <v>1674</v>
      </c>
      <c r="P20" s="2" t="s">
        <v>188</v>
      </c>
    </row>
    <row r="22" customFormat="false" ht="15" hidden="false" customHeight="false" outlineLevel="0" collapsed="false">
      <c r="A22" s="5" t="s">
        <v>197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</row>
    <row r="23" customFormat="false" ht="30" hidden="false" customHeight="true" outlineLevel="0" collapsed="false">
      <c r="A23" s="33" t="s">
        <v>198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customFormat="false" ht="42" hidden="false" customHeight="true" outlineLevel="0" collapsed="false">
      <c r="A24" s="6" t="s">
        <v>155</v>
      </c>
      <c r="B24" s="6" t="s">
        <v>156</v>
      </c>
      <c r="C24" s="6" t="s">
        <v>157</v>
      </c>
      <c r="D24" s="6" t="s">
        <v>158</v>
      </c>
      <c r="E24" s="6" t="s">
        <v>159</v>
      </c>
      <c r="F24" s="6" t="s">
        <v>160</v>
      </c>
      <c r="G24" s="6" t="s">
        <v>161</v>
      </c>
      <c r="H24" s="6" t="s">
        <v>162</v>
      </c>
      <c r="I24" s="6" t="s">
        <v>163</v>
      </c>
      <c r="J24" s="6" t="s">
        <v>164</v>
      </c>
      <c r="K24" s="6" t="s">
        <v>165</v>
      </c>
      <c r="L24" s="6" t="s">
        <v>166</v>
      </c>
      <c r="M24" s="6" t="s">
        <v>167</v>
      </c>
      <c r="N24" s="6" t="s">
        <v>168</v>
      </c>
      <c r="O24" s="6" t="s">
        <v>169</v>
      </c>
      <c r="P24" s="6" t="s">
        <v>170</v>
      </c>
      <c r="Q24" s="6" t="s">
        <v>171</v>
      </c>
      <c r="R24" s="6" t="s">
        <v>172</v>
      </c>
      <c r="S24" s="6" t="s">
        <v>173</v>
      </c>
    </row>
    <row r="25" customFormat="false" ht="22.35" hidden="false" customHeight="false" outlineLevel="0" collapsed="false">
      <c r="A25" s="29" t="s">
        <v>174</v>
      </c>
      <c r="B25" s="24" t="s">
        <v>122</v>
      </c>
      <c r="C25" s="29" t="s">
        <v>199</v>
      </c>
      <c r="D25" s="29" t="s">
        <v>123</v>
      </c>
      <c r="E25" s="34" t="n">
        <f aca="false">Inputs!$B$4</f>
        <v>2000</v>
      </c>
      <c r="F25" s="35" t="s">
        <v>200</v>
      </c>
      <c r="G25" s="45" t="s">
        <v>201</v>
      </c>
      <c r="H25" s="17" t="n">
        <v>24</v>
      </c>
      <c r="I25" s="37" t="n">
        <v>0.96</v>
      </c>
      <c r="J25" s="8" t="s">
        <v>202</v>
      </c>
      <c r="K25" s="37" t="n">
        <v>0.25</v>
      </c>
      <c r="L25" s="27" t="n">
        <f aca="false">IF(F25="USD",Inputs!$B$6,1)</f>
        <v>1</v>
      </c>
      <c r="M25" s="20" t="n">
        <f aca="false">(I25+K25)*L25*(1+Inputs!$B$18)</f>
        <v>1.21</v>
      </c>
      <c r="N25" s="20" t="n">
        <v>0</v>
      </c>
      <c r="O25" s="20" t="n">
        <f aca="false">$O$29/SUM($E$25:$E$27)</f>
        <v>0.0666666666666667</v>
      </c>
      <c r="P25" s="38" t="n">
        <f aca="false">M25+N25+O25</f>
        <v>1.27666666666667</v>
      </c>
      <c r="Q25" s="39" t="n">
        <f aca="false">P25*E25</f>
        <v>2553.33333333333</v>
      </c>
      <c r="R25" s="20" t="n">
        <f aca="false">Inputs!$B$11-P25</f>
        <v>2.16333333333333</v>
      </c>
      <c r="S25" s="40" t="s">
        <v>203</v>
      </c>
    </row>
    <row r="26" customFormat="false" ht="22.35" hidden="false" customHeight="false" outlineLevel="0" collapsed="false">
      <c r="A26" s="29" t="s">
        <v>179</v>
      </c>
      <c r="B26" s="24" t="s">
        <v>129</v>
      </c>
      <c r="C26" s="29" t="s">
        <v>204</v>
      </c>
      <c r="D26" s="29" t="s">
        <v>128</v>
      </c>
      <c r="E26" s="34" t="n">
        <f aca="false">Inputs!$B$4</f>
        <v>2000</v>
      </c>
      <c r="F26" s="35" t="s">
        <v>200</v>
      </c>
      <c r="G26" s="45" t="s">
        <v>201</v>
      </c>
      <c r="H26" s="17" t="n">
        <v>12</v>
      </c>
      <c r="I26" s="37" t="n">
        <v>0.99</v>
      </c>
      <c r="J26" s="8" t="s">
        <v>205</v>
      </c>
      <c r="K26" s="37" t="n">
        <v>0.25</v>
      </c>
      <c r="L26" s="27" t="n">
        <f aca="false">IF(F26="USD",Inputs!$B$6,1)</f>
        <v>1</v>
      </c>
      <c r="M26" s="20" t="n">
        <f aca="false">(I26+K26)*L26*(1+Inputs!$B$18)</f>
        <v>1.24</v>
      </c>
      <c r="N26" s="20" t="n">
        <v>0</v>
      </c>
      <c r="O26" s="20" t="n">
        <f aca="false">$O$29/SUM($E$25:$E$27)</f>
        <v>0.0666666666666667</v>
      </c>
      <c r="P26" s="38" t="n">
        <f aca="false">M26+N26+O26</f>
        <v>1.30666666666667</v>
      </c>
      <c r="Q26" s="39" t="n">
        <f aca="false">P26*E26</f>
        <v>2613.33333333333</v>
      </c>
      <c r="R26" s="20" t="n">
        <f aca="false">Inputs!$B$11-P26</f>
        <v>2.13333333333333</v>
      </c>
      <c r="S26" s="40" t="s">
        <v>203</v>
      </c>
    </row>
    <row r="27" customFormat="false" ht="22.35" hidden="false" customHeight="false" outlineLevel="0" collapsed="false">
      <c r="A27" s="29" t="s">
        <v>182</v>
      </c>
      <c r="B27" s="24" t="s">
        <v>129</v>
      </c>
      <c r="C27" s="29" t="s">
        <v>204</v>
      </c>
      <c r="D27" s="29" t="s">
        <v>128</v>
      </c>
      <c r="E27" s="34" t="n">
        <f aca="false">Inputs!$B$4</f>
        <v>2000</v>
      </c>
      <c r="F27" s="35" t="s">
        <v>200</v>
      </c>
      <c r="G27" s="45" t="s">
        <v>201</v>
      </c>
      <c r="H27" s="17" t="n">
        <v>12</v>
      </c>
      <c r="I27" s="37" t="n">
        <v>0.99</v>
      </c>
      <c r="J27" s="8" t="s">
        <v>205</v>
      </c>
      <c r="K27" s="37" t="n">
        <v>0.25</v>
      </c>
      <c r="L27" s="27" t="n">
        <f aca="false">IF(F27="USD",Inputs!$B$6,1)</f>
        <v>1</v>
      </c>
      <c r="M27" s="20" t="n">
        <f aca="false">(I27+K27)*L27*(1+Inputs!$B$18)</f>
        <v>1.24</v>
      </c>
      <c r="N27" s="20" t="n">
        <v>0</v>
      </c>
      <c r="O27" s="20" t="n">
        <f aca="false">$O$29/SUM($E$25:$E$27)</f>
        <v>0.0666666666666667</v>
      </c>
      <c r="P27" s="38" t="n">
        <f aca="false">M27+N27+O27</f>
        <v>1.30666666666667</v>
      </c>
      <c r="Q27" s="39" t="n">
        <f aca="false">P27*E27</f>
        <v>2613.33333333333</v>
      </c>
      <c r="R27" s="20" t="n">
        <f aca="false">Inputs!$B$11-P27</f>
        <v>2.13333333333333</v>
      </c>
      <c r="S27" s="40" t="s">
        <v>203</v>
      </c>
    </row>
    <row r="28" customFormat="false" ht="15" hidden="false" customHeight="false" outlineLevel="0" collapsed="false">
      <c r="A28" s="41" t="s">
        <v>186</v>
      </c>
      <c r="B28" s="42"/>
      <c r="C28" s="42"/>
      <c r="D28" s="42"/>
      <c r="E28" s="43" t="n">
        <f aca="false">SUM(E25:E27)</f>
        <v>6000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38" t="n">
        <f aca="false">Q28/E28</f>
        <v>1.29666666666667</v>
      </c>
      <c r="Q28" s="44" t="n">
        <f aca="false">SUM(Q25:Q27)</f>
        <v>7780</v>
      </c>
      <c r="R28" s="38" t="n">
        <f aca="false">Inputs!$B$11-P28</f>
        <v>2.14333333333333</v>
      </c>
      <c r="S28" s="42"/>
    </row>
    <row r="29" customFormat="false" ht="15" hidden="false" customHeight="false" outlineLevel="0" collapsed="false">
      <c r="A29" s="2" t="s">
        <v>187</v>
      </c>
      <c r="O29" s="39" t="n">
        <f aca="false">Inputs!$B$16</f>
        <v>400</v>
      </c>
      <c r="P29" s="2" t="s">
        <v>206</v>
      </c>
    </row>
    <row r="31" customFormat="false" ht="15" hidden="false" customHeight="false" outlineLevel="0" collapsed="false">
      <c r="A31" s="5" t="s">
        <v>207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customFormat="false" ht="30" hidden="false" customHeight="true" outlineLevel="0" collapsed="false">
      <c r="A32" s="33" t="s">
        <v>208</v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customFormat="false" ht="42" hidden="false" customHeight="true" outlineLevel="0" collapsed="false">
      <c r="A33" s="6" t="s">
        <v>155</v>
      </c>
      <c r="B33" s="6" t="s">
        <v>156</v>
      </c>
      <c r="C33" s="6" t="s">
        <v>157</v>
      </c>
      <c r="D33" s="6" t="s">
        <v>158</v>
      </c>
      <c r="E33" s="6" t="s">
        <v>159</v>
      </c>
      <c r="F33" s="6" t="s">
        <v>160</v>
      </c>
      <c r="G33" s="6" t="s">
        <v>161</v>
      </c>
      <c r="H33" s="6" t="s">
        <v>162</v>
      </c>
      <c r="I33" s="6" t="s">
        <v>163</v>
      </c>
      <c r="J33" s="6" t="s">
        <v>164</v>
      </c>
      <c r="K33" s="6" t="s">
        <v>165</v>
      </c>
      <c r="L33" s="6" t="s">
        <v>166</v>
      </c>
      <c r="M33" s="6" t="s">
        <v>167</v>
      </c>
      <c r="N33" s="6" t="s">
        <v>168</v>
      </c>
      <c r="O33" s="6" t="s">
        <v>169</v>
      </c>
      <c r="P33" s="6" t="s">
        <v>170</v>
      </c>
      <c r="Q33" s="6" t="s">
        <v>171</v>
      </c>
      <c r="R33" s="6" t="s">
        <v>172</v>
      </c>
      <c r="S33" s="6" t="s">
        <v>173</v>
      </c>
    </row>
    <row r="34" customFormat="false" ht="15" hidden="false" customHeight="false" outlineLevel="0" collapsed="false">
      <c r="A34" s="29" t="s">
        <v>174</v>
      </c>
      <c r="B34" s="24" t="s">
        <v>122</v>
      </c>
      <c r="C34" s="29" t="s">
        <v>209</v>
      </c>
      <c r="D34" s="29" t="s">
        <v>123</v>
      </c>
      <c r="E34" s="34" t="n">
        <f aca="false">Inputs!$B$4</f>
        <v>2000</v>
      </c>
      <c r="F34" s="35" t="s">
        <v>200</v>
      </c>
      <c r="G34" s="45" t="s">
        <v>201</v>
      </c>
      <c r="H34" s="17" t="n">
        <v>24</v>
      </c>
      <c r="I34" s="37" t="n">
        <v>1.67</v>
      </c>
      <c r="J34" s="8" t="s">
        <v>210</v>
      </c>
      <c r="K34" s="37" t="n">
        <v>0</v>
      </c>
      <c r="L34" s="27" t="n">
        <f aca="false">IF(F34="USD",Inputs!$B$6,1)</f>
        <v>1</v>
      </c>
      <c r="M34" s="20" t="n">
        <f aca="false">(I34+K34)*L34*(1+Inputs!$B$18)</f>
        <v>1.67</v>
      </c>
      <c r="N34" s="20" t="n">
        <v>0</v>
      </c>
      <c r="O34" s="20" t="n">
        <f aca="false">$O$38/SUM($E$34:$E$36)</f>
        <v>0.0666666666666667</v>
      </c>
      <c r="P34" s="38" t="n">
        <f aca="false">M34+N34+O34</f>
        <v>1.73666666666667</v>
      </c>
      <c r="Q34" s="39" t="n">
        <f aca="false">P34*E34</f>
        <v>3473.33333333333</v>
      </c>
      <c r="R34" s="20" t="n">
        <f aca="false">Inputs!$B$11-P34</f>
        <v>1.70333333333333</v>
      </c>
      <c r="S34" s="40" t="s">
        <v>211</v>
      </c>
    </row>
    <row r="35" customFormat="false" ht="15" hidden="false" customHeight="false" outlineLevel="0" collapsed="false">
      <c r="A35" s="29" t="s">
        <v>179</v>
      </c>
      <c r="B35" s="24" t="s">
        <v>127</v>
      </c>
      <c r="C35" s="29" t="s">
        <v>212</v>
      </c>
      <c r="D35" s="29" t="s">
        <v>128</v>
      </c>
      <c r="E35" s="34" t="n">
        <f aca="false">Inputs!$B$4</f>
        <v>2000</v>
      </c>
      <c r="F35" s="35" t="s">
        <v>200</v>
      </c>
      <c r="G35" s="45" t="s">
        <v>201</v>
      </c>
      <c r="H35" s="17" t="n">
        <v>24</v>
      </c>
      <c r="I35" s="37" t="n">
        <v>2.35</v>
      </c>
      <c r="J35" s="8" t="s">
        <v>210</v>
      </c>
      <c r="K35" s="37" t="n">
        <v>0</v>
      </c>
      <c r="L35" s="27" t="n">
        <f aca="false">IF(F35="USD",Inputs!$B$6,1)</f>
        <v>1</v>
      </c>
      <c r="M35" s="20" t="n">
        <f aca="false">(I35+K35)*L35*(1+Inputs!$B$18)</f>
        <v>2.35</v>
      </c>
      <c r="N35" s="20" t="n">
        <v>0</v>
      </c>
      <c r="O35" s="20" t="n">
        <f aca="false">$O$38/SUM($E$34:$E$36)</f>
        <v>0.0666666666666667</v>
      </c>
      <c r="P35" s="38" t="n">
        <f aca="false">M35+N35+O35</f>
        <v>2.41666666666667</v>
      </c>
      <c r="Q35" s="39" t="n">
        <f aca="false">P35*E35</f>
        <v>4833.33333333333</v>
      </c>
      <c r="R35" s="20" t="n">
        <f aca="false">Inputs!$B$11-P35</f>
        <v>1.02333333333333</v>
      </c>
      <c r="S35" s="40" t="s">
        <v>211</v>
      </c>
    </row>
    <row r="36" customFormat="false" ht="22.35" hidden="false" customHeight="false" outlineLevel="0" collapsed="false">
      <c r="A36" s="29" t="s">
        <v>182</v>
      </c>
      <c r="B36" s="24" t="s">
        <v>127</v>
      </c>
      <c r="C36" s="29" t="s">
        <v>212</v>
      </c>
      <c r="D36" s="29" t="s">
        <v>128</v>
      </c>
      <c r="E36" s="34" t="n">
        <f aca="false">Inputs!$B$4</f>
        <v>2000</v>
      </c>
      <c r="F36" s="35" t="s">
        <v>200</v>
      </c>
      <c r="G36" s="45" t="s">
        <v>201</v>
      </c>
      <c r="H36" s="17" t="n">
        <v>24</v>
      </c>
      <c r="I36" s="37" t="n">
        <v>2.35</v>
      </c>
      <c r="J36" s="8" t="s">
        <v>210</v>
      </c>
      <c r="K36" s="37" t="n">
        <v>0</v>
      </c>
      <c r="L36" s="27" t="n">
        <f aca="false">IF(F36="USD",Inputs!$B$6,1)</f>
        <v>1</v>
      </c>
      <c r="M36" s="20" t="n">
        <f aca="false">(I36+K36)*L36*(1+Inputs!$B$18)</f>
        <v>2.35</v>
      </c>
      <c r="N36" s="20" t="n">
        <v>0</v>
      </c>
      <c r="O36" s="20" t="n">
        <f aca="false">$O$38/SUM($E$34:$E$36)</f>
        <v>0.0666666666666667</v>
      </c>
      <c r="P36" s="38" t="n">
        <f aca="false">M36+N36+O36</f>
        <v>2.41666666666667</v>
      </c>
      <c r="Q36" s="39" t="n">
        <f aca="false">P36*E36</f>
        <v>4833.33333333333</v>
      </c>
      <c r="R36" s="20" t="n">
        <f aca="false">Inputs!$B$11-P36</f>
        <v>1.02333333333333</v>
      </c>
      <c r="S36" s="40" t="s">
        <v>213</v>
      </c>
    </row>
    <row r="37" customFormat="false" ht="15" hidden="false" customHeight="false" outlineLevel="0" collapsed="false">
      <c r="A37" s="41" t="s">
        <v>186</v>
      </c>
      <c r="B37" s="42"/>
      <c r="C37" s="42"/>
      <c r="D37" s="42"/>
      <c r="E37" s="43" t="n">
        <f aca="false">SUM(E34:E36)</f>
        <v>6000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38" t="n">
        <f aca="false">Q37/E37</f>
        <v>2.19</v>
      </c>
      <c r="Q37" s="44" t="n">
        <f aca="false">SUM(Q34:Q36)</f>
        <v>13140</v>
      </c>
      <c r="R37" s="38" t="n">
        <f aca="false">Inputs!$B$11-P37</f>
        <v>1.25</v>
      </c>
      <c r="S37" s="42"/>
    </row>
    <row r="38" customFormat="false" ht="15" hidden="false" customHeight="false" outlineLevel="0" collapsed="false">
      <c r="A38" s="2" t="s">
        <v>187</v>
      </c>
      <c r="O38" s="39" t="n">
        <f aca="false">Inputs!$B$16</f>
        <v>400</v>
      </c>
      <c r="P38" s="2" t="s">
        <v>206</v>
      </c>
    </row>
  </sheetData>
  <mergeCells count="8">
    <mergeCell ref="A4:S4"/>
    <mergeCell ref="A5:S5"/>
    <mergeCell ref="A13:S13"/>
    <mergeCell ref="A14:S14"/>
    <mergeCell ref="A22:S22"/>
    <mergeCell ref="A23:S23"/>
    <mergeCell ref="A31:S31"/>
    <mergeCell ref="A32:S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34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4" min="13" style="0" width="12"/>
    <col collapsed="false" customWidth="true" hidden="false" outlineLevel="0" max="15" min="15" style="0" width="14"/>
    <col collapsed="false" customWidth="true" hidden="false" outlineLevel="0" max="17" min="16" style="0" width="12"/>
    <col collapsed="false" customWidth="true" hidden="false" outlineLevel="0" max="18" min="18" style="0" width="13"/>
    <col collapsed="false" customWidth="true" hidden="false" outlineLevel="0" max="19" min="19" style="0" width="34"/>
  </cols>
  <sheetData>
    <row r="1" customFormat="false" ht="17.35" hidden="false" customHeight="false" outlineLevel="0" collapsed="false">
      <c r="A1" s="1" t="s">
        <v>214</v>
      </c>
    </row>
    <row r="2" customFormat="false" ht="15" hidden="false" customHeight="false" outlineLevel="0" collapsed="false">
      <c r="A2" s="2" t="s">
        <v>215</v>
      </c>
    </row>
    <row r="4" customFormat="false" ht="15" hidden="false" customHeight="false" outlineLevel="0" collapsed="false">
      <c r="A4" s="5" t="s">
        <v>216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</row>
    <row r="5" customFormat="false" ht="30" hidden="false" customHeight="true" outlineLevel="0" collapsed="false">
      <c r="A5" s="33" t="s">
        <v>217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</row>
    <row r="6" customFormat="false" ht="42" hidden="false" customHeight="true" outlineLevel="0" collapsed="false">
      <c r="A6" s="6" t="s">
        <v>155</v>
      </c>
      <c r="B6" s="6" t="s">
        <v>156</v>
      </c>
      <c r="C6" s="6" t="s">
        <v>157</v>
      </c>
      <c r="D6" s="6" t="s">
        <v>158</v>
      </c>
      <c r="E6" s="6" t="s">
        <v>159</v>
      </c>
      <c r="F6" s="6" t="s">
        <v>160</v>
      </c>
      <c r="G6" s="6" t="s">
        <v>161</v>
      </c>
      <c r="H6" s="6" t="s">
        <v>162</v>
      </c>
      <c r="I6" s="6" t="s">
        <v>163</v>
      </c>
      <c r="J6" s="6" t="s">
        <v>164</v>
      </c>
      <c r="K6" s="6" t="s">
        <v>165</v>
      </c>
      <c r="L6" s="6" t="s">
        <v>166</v>
      </c>
      <c r="M6" s="6" t="s">
        <v>167</v>
      </c>
      <c r="N6" s="6" t="s">
        <v>168</v>
      </c>
      <c r="O6" s="6" t="s">
        <v>169</v>
      </c>
      <c r="P6" s="6" t="s">
        <v>170</v>
      </c>
      <c r="Q6" s="6" t="s">
        <v>171</v>
      </c>
      <c r="R6" s="6" t="s">
        <v>172</v>
      </c>
      <c r="S6" s="6" t="s">
        <v>173</v>
      </c>
    </row>
    <row r="7" customFormat="false" ht="23.85" hidden="false" customHeight="false" outlineLevel="0" collapsed="false">
      <c r="A7" s="29" t="s">
        <v>174</v>
      </c>
      <c r="B7" s="24" t="s">
        <v>218</v>
      </c>
      <c r="C7" s="29" t="s">
        <v>219</v>
      </c>
      <c r="D7" s="29" t="s">
        <v>220</v>
      </c>
      <c r="E7" s="34" t="n">
        <f aca="false">Inputs!$B$4</f>
        <v>2000</v>
      </c>
      <c r="F7" s="35" t="s">
        <v>176</v>
      </c>
      <c r="G7" s="45" t="s">
        <v>201</v>
      </c>
      <c r="H7" s="17"/>
      <c r="I7" s="37" t="n">
        <v>0.28</v>
      </c>
      <c r="J7" s="8" t="s">
        <v>221</v>
      </c>
      <c r="K7" s="37" t="n">
        <v>0.06</v>
      </c>
      <c r="L7" s="27" t="n">
        <f aca="false">IF(F7="USD",Inputs!$B$6,1)</f>
        <v>1.38</v>
      </c>
      <c r="M7" s="20" t="n">
        <f aca="false">(I7+K7)*L7*(1+Inputs!$B$18)</f>
        <v>0.4692</v>
      </c>
      <c r="N7" s="20" t="n">
        <v>0</v>
      </c>
      <c r="O7" s="20" t="n">
        <f aca="false">$O$11/SUM($E$7:$E$9)</f>
        <v>0.5255</v>
      </c>
      <c r="P7" s="38" t="n">
        <f aca="false">M7+N7+O7</f>
        <v>0.9947</v>
      </c>
      <c r="Q7" s="39" t="n">
        <f aca="false">P7*E7</f>
        <v>1989.4</v>
      </c>
      <c r="R7" s="20" t="n">
        <f aca="false">Inputs!$B$11-P7</f>
        <v>2.4453</v>
      </c>
      <c r="S7" s="40" t="s">
        <v>222</v>
      </c>
    </row>
    <row r="8" customFormat="false" ht="22.35" hidden="false" customHeight="false" outlineLevel="0" collapsed="false">
      <c r="A8" s="29" t="s">
        <v>179</v>
      </c>
      <c r="B8" s="24" t="s">
        <v>223</v>
      </c>
      <c r="C8" s="29" t="s">
        <v>224</v>
      </c>
      <c r="D8" s="29" t="s">
        <v>225</v>
      </c>
      <c r="E8" s="34" t="n">
        <f aca="false">Inputs!$B$4</f>
        <v>2000</v>
      </c>
      <c r="F8" s="35" t="s">
        <v>176</v>
      </c>
      <c r="G8" s="45" t="s">
        <v>201</v>
      </c>
      <c r="H8" s="17"/>
      <c r="I8" s="37" t="n">
        <v>0.3</v>
      </c>
      <c r="J8" s="8" t="s">
        <v>226</v>
      </c>
      <c r="K8" s="37" t="n">
        <v>0.06</v>
      </c>
      <c r="L8" s="27" t="n">
        <f aca="false">IF(F8="USD",Inputs!$B$6,1)</f>
        <v>1.38</v>
      </c>
      <c r="M8" s="20" t="n">
        <f aca="false">(I8+K8)*L8*(1+Inputs!$B$18)</f>
        <v>0.4968</v>
      </c>
      <c r="N8" s="20" t="n">
        <v>0</v>
      </c>
      <c r="O8" s="20" t="n">
        <f aca="false">$O$11/SUM($E$7:$E$9)</f>
        <v>0.5255</v>
      </c>
      <c r="P8" s="38" t="n">
        <f aca="false">M8+N8+O8</f>
        <v>1.0223</v>
      </c>
      <c r="Q8" s="39" t="n">
        <f aca="false">P8*E8</f>
        <v>2044.6</v>
      </c>
      <c r="R8" s="20" t="n">
        <f aca="false">Inputs!$B$11-P8</f>
        <v>2.4177</v>
      </c>
      <c r="S8" s="40" t="s">
        <v>222</v>
      </c>
    </row>
    <row r="9" customFormat="false" ht="22.35" hidden="false" customHeight="false" outlineLevel="0" collapsed="false">
      <c r="A9" s="29" t="s">
        <v>182</v>
      </c>
      <c r="B9" s="24" t="s">
        <v>223</v>
      </c>
      <c r="C9" s="29" t="s">
        <v>219</v>
      </c>
      <c r="D9" s="29" t="s">
        <v>225</v>
      </c>
      <c r="E9" s="34" t="n">
        <f aca="false">Inputs!$B$4</f>
        <v>2000</v>
      </c>
      <c r="F9" s="35" t="s">
        <v>176</v>
      </c>
      <c r="G9" s="45" t="s">
        <v>201</v>
      </c>
      <c r="H9" s="17"/>
      <c r="I9" s="37" t="n">
        <v>0.3</v>
      </c>
      <c r="J9" s="8" t="s">
        <v>226</v>
      </c>
      <c r="K9" s="37" t="n">
        <v>0.06</v>
      </c>
      <c r="L9" s="27" t="n">
        <f aca="false">IF(F9="USD",Inputs!$B$6,1)</f>
        <v>1.38</v>
      </c>
      <c r="M9" s="20" t="n">
        <f aca="false">(I9+K9)*L9*(1+Inputs!$B$18)</f>
        <v>0.4968</v>
      </c>
      <c r="N9" s="20" t="n">
        <v>0</v>
      </c>
      <c r="O9" s="20" t="n">
        <f aca="false">$O$11/SUM($E$7:$E$9)</f>
        <v>0.5255</v>
      </c>
      <c r="P9" s="38" t="n">
        <f aca="false">M9+N9+O9</f>
        <v>1.0223</v>
      </c>
      <c r="Q9" s="39" t="n">
        <f aca="false">P9*E9</f>
        <v>2044.6</v>
      </c>
      <c r="R9" s="20" t="n">
        <f aca="false">Inputs!$B$11-P9</f>
        <v>2.4177</v>
      </c>
      <c r="S9" s="40" t="s">
        <v>227</v>
      </c>
    </row>
    <row r="10" customFormat="false" ht="15" hidden="false" customHeight="false" outlineLevel="0" collapsed="false">
      <c r="A10" s="41" t="s">
        <v>186</v>
      </c>
      <c r="B10" s="42"/>
      <c r="C10" s="42"/>
      <c r="D10" s="42"/>
      <c r="E10" s="43" t="n">
        <f aca="false">SUM(E7:E9)</f>
        <v>6000</v>
      </c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38" t="n">
        <f aca="false">Q10/E10</f>
        <v>1.0131</v>
      </c>
      <c r="Q10" s="44" t="n">
        <f aca="false">SUM(Q7:Q9)</f>
        <v>6078.6</v>
      </c>
      <c r="R10" s="38" t="n">
        <f aca="false">Inputs!$B$11-P10</f>
        <v>2.4269</v>
      </c>
      <c r="S10" s="42"/>
    </row>
    <row r="11" customFormat="false" ht="15" hidden="false" customHeight="false" outlineLevel="0" collapsed="false">
      <c r="A11" s="2" t="s">
        <v>187</v>
      </c>
      <c r="O11" s="39" t="n">
        <f aca="false">Inputs!$B$17*Inputs!$B$6+Inputs!$B$19</f>
        <v>3153</v>
      </c>
      <c r="P11" s="2" t="s">
        <v>228</v>
      </c>
    </row>
    <row r="13" customFormat="false" ht="15" hidden="false" customHeight="false" outlineLevel="0" collapsed="false">
      <c r="A13" s="5" t="s">
        <v>229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</row>
    <row r="14" customFormat="false" ht="30" hidden="false" customHeight="true" outlineLevel="0" collapsed="false">
      <c r="A14" s="33" t="s">
        <v>230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customFormat="false" ht="42" hidden="false" customHeight="true" outlineLevel="0" collapsed="false">
      <c r="A15" s="6" t="s">
        <v>155</v>
      </c>
      <c r="B15" s="6" t="s">
        <v>156</v>
      </c>
      <c r="C15" s="6" t="s">
        <v>157</v>
      </c>
      <c r="D15" s="6" t="s">
        <v>158</v>
      </c>
      <c r="E15" s="6" t="s">
        <v>159</v>
      </c>
      <c r="F15" s="6" t="s">
        <v>160</v>
      </c>
      <c r="G15" s="6" t="s">
        <v>161</v>
      </c>
      <c r="H15" s="6" t="s">
        <v>162</v>
      </c>
      <c r="I15" s="6" t="s">
        <v>163</v>
      </c>
      <c r="J15" s="6" t="s">
        <v>164</v>
      </c>
      <c r="K15" s="6" t="s">
        <v>165</v>
      </c>
      <c r="L15" s="6" t="s">
        <v>166</v>
      </c>
      <c r="M15" s="6" t="s">
        <v>167</v>
      </c>
      <c r="N15" s="6" t="s">
        <v>168</v>
      </c>
      <c r="O15" s="6" t="s">
        <v>169</v>
      </c>
      <c r="P15" s="6" t="s">
        <v>170</v>
      </c>
      <c r="Q15" s="6" t="s">
        <v>171</v>
      </c>
      <c r="R15" s="6" t="s">
        <v>172</v>
      </c>
      <c r="S15" s="6" t="s">
        <v>173</v>
      </c>
    </row>
    <row r="16" customFormat="false" ht="22.35" hidden="false" customHeight="false" outlineLevel="0" collapsed="false">
      <c r="A16" s="29" t="s">
        <v>174</v>
      </c>
      <c r="B16" s="24" t="s">
        <v>122</v>
      </c>
      <c r="C16" s="29" t="s">
        <v>175</v>
      </c>
      <c r="D16" s="29" t="s">
        <v>123</v>
      </c>
      <c r="E16" s="34" t="n">
        <f aca="false">Inputs!$B$4</f>
        <v>2000</v>
      </c>
      <c r="F16" s="35" t="s">
        <v>176</v>
      </c>
      <c r="G16" s="36" t="n">
        <v>11.45</v>
      </c>
      <c r="H16" s="17" t="n">
        <v>24</v>
      </c>
      <c r="I16" s="26" t="n">
        <f aca="false">G16/H16</f>
        <v>0.477083333333333</v>
      </c>
      <c r="J16" s="8" t="s">
        <v>231</v>
      </c>
      <c r="K16" s="37" t="n">
        <v>0.14</v>
      </c>
      <c r="L16" s="27" t="n">
        <f aca="false">IF(F16="USD",Inputs!$B$6,1)</f>
        <v>1.38</v>
      </c>
      <c r="M16" s="20" t="n">
        <f aca="false">(I16+K16)*L16*(1+Inputs!$B$18)</f>
        <v>0.851575</v>
      </c>
      <c r="N16" s="46" t="n">
        <f aca="false">Inputs!$B$22</f>
        <v>0.45</v>
      </c>
      <c r="O16" s="20" t="n">
        <f aca="false">$O$20/SUM($E$16:$E$18)</f>
        <v>0.654</v>
      </c>
      <c r="P16" s="38" t="n">
        <f aca="false">M16+N16+O16</f>
        <v>1.955575</v>
      </c>
      <c r="Q16" s="39" t="n">
        <f aca="false">P16*E16</f>
        <v>3911.15</v>
      </c>
      <c r="R16" s="20" t="n">
        <f aca="false">Inputs!$B$11-P16</f>
        <v>1.484425</v>
      </c>
      <c r="S16" s="40" t="s">
        <v>232</v>
      </c>
    </row>
    <row r="17" customFormat="false" ht="22.35" hidden="false" customHeight="false" outlineLevel="0" collapsed="false">
      <c r="A17" s="29" t="s">
        <v>179</v>
      </c>
      <c r="B17" s="24" t="s">
        <v>125</v>
      </c>
      <c r="C17" s="29" t="s">
        <v>180</v>
      </c>
      <c r="D17" s="29" t="s">
        <v>126</v>
      </c>
      <c r="E17" s="34" t="n">
        <f aca="false">Inputs!$B$4</f>
        <v>2000</v>
      </c>
      <c r="F17" s="35" t="s">
        <v>176</v>
      </c>
      <c r="G17" s="36" t="n">
        <v>6.07</v>
      </c>
      <c r="H17" s="17" t="n">
        <v>12</v>
      </c>
      <c r="I17" s="26" t="n">
        <f aca="false">G17/H17</f>
        <v>0.505833333333333</v>
      </c>
      <c r="J17" s="8" t="s">
        <v>181</v>
      </c>
      <c r="K17" s="37" t="n">
        <v>0.11</v>
      </c>
      <c r="L17" s="27" t="n">
        <f aca="false">IF(F17="USD",Inputs!$B$6,1)</f>
        <v>1.38</v>
      </c>
      <c r="M17" s="20" t="n">
        <f aca="false">(I17+K17)*L17*(1+Inputs!$B$18)</f>
        <v>0.84985</v>
      </c>
      <c r="N17" s="46" t="n">
        <f aca="false">Inputs!$B$22</f>
        <v>0.45</v>
      </c>
      <c r="O17" s="20" t="n">
        <f aca="false">$O$20/SUM($E$16:$E$18)</f>
        <v>0.654</v>
      </c>
      <c r="P17" s="38" t="n">
        <f aca="false">M17+N17+O17</f>
        <v>1.95385</v>
      </c>
      <c r="Q17" s="39" t="n">
        <f aca="false">P17*E17</f>
        <v>3907.7</v>
      </c>
      <c r="R17" s="20" t="n">
        <f aca="false">Inputs!$B$11-P17</f>
        <v>1.48615</v>
      </c>
      <c r="S17" s="40" t="s">
        <v>232</v>
      </c>
    </row>
    <row r="18" customFormat="false" ht="22.35" hidden="false" customHeight="false" outlineLevel="0" collapsed="false">
      <c r="A18" s="29" t="s">
        <v>182</v>
      </c>
      <c r="B18" s="24" t="s">
        <v>129</v>
      </c>
      <c r="C18" s="29" t="s">
        <v>183</v>
      </c>
      <c r="D18" s="29" t="s">
        <v>128</v>
      </c>
      <c r="E18" s="34" t="n">
        <f aca="false">Inputs!$B$4</f>
        <v>2000</v>
      </c>
      <c r="F18" s="35" t="s">
        <v>176</v>
      </c>
      <c r="G18" s="36" t="n">
        <v>5.24</v>
      </c>
      <c r="H18" s="17" t="n">
        <v>12</v>
      </c>
      <c r="I18" s="26" t="n">
        <f aca="false">G18/H18</f>
        <v>0.436666666666667</v>
      </c>
      <c r="J18" s="8" t="s">
        <v>233</v>
      </c>
      <c r="K18" s="37" t="n">
        <v>0.15</v>
      </c>
      <c r="L18" s="27" t="n">
        <f aca="false">IF(F18="USD",Inputs!$B$6,1)</f>
        <v>1.38</v>
      </c>
      <c r="M18" s="20" t="n">
        <f aca="false">(I18+K18)*L18*(1+Inputs!$B$18)</f>
        <v>0.8096</v>
      </c>
      <c r="N18" s="46" t="n">
        <f aca="false">Inputs!$B$22</f>
        <v>0.45</v>
      </c>
      <c r="O18" s="20" t="n">
        <f aca="false">$O$20/SUM($E$16:$E$18)</f>
        <v>0.654</v>
      </c>
      <c r="P18" s="38" t="n">
        <f aca="false">M18+N18+O18</f>
        <v>1.9136</v>
      </c>
      <c r="Q18" s="39" t="n">
        <f aca="false">P18*E18</f>
        <v>3827.2</v>
      </c>
      <c r="R18" s="20" t="n">
        <f aca="false">Inputs!$B$11-P18</f>
        <v>1.5264</v>
      </c>
      <c r="S18" s="40" t="s">
        <v>232</v>
      </c>
    </row>
    <row r="19" customFormat="false" ht="15" hidden="false" customHeight="false" outlineLevel="0" collapsed="false">
      <c r="A19" s="41" t="s">
        <v>186</v>
      </c>
      <c r="B19" s="42"/>
      <c r="C19" s="42"/>
      <c r="D19" s="42"/>
      <c r="E19" s="43" t="n">
        <f aca="false">SUM(E16:E18)</f>
        <v>6000</v>
      </c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38" t="n">
        <f aca="false">Q19/E19</f>
        <v>1.94100833333333</v>
      </c>
      <c r="Q19" s="44" t="n">
        <f aca="false">SUM(Q16:Q18)</f>
        <v>11646.05</v>
      </c>
      <c r="R19" s="38" t="n">
        <f aca="false">Inputs!$B$11-P19</f>
        <v>1.49899166666667</v>
      </c>
      <c r="S19" s="42"/>
    </row>
    <row r="20" customFormat="false" ht="15" hidden="false" customHeight="false" outlineLevel="0" collapsed="false">
      <c r="A20" s="2" t="s">
        <v>187</v>
      </c>
      <c r="O20" s="39" t="n">
        <f aca="false">Inputs!$B$14*Inputs!$B$6+Inputs!$B$15+Inputs!$B$23*Inputs!$B$5+Inputs!$B$24</f>
        <v>3924</v>
      </c>
      <c r="P20" s="2" t="s">
        <v>234</v>
      </c>
    </row>
    <row r="22" customFormat="false" ht="15" hidden="false" customHeight="false" outlineLevel="0" collapsed="false">
      <c r="A22" s="5" t="s">
        <v>235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</row>
    <row r="23" customFormat="false" ht="30" hidden="false" customHeight="true" outlineLevel="0" collapsed="false">
      <c r="A23" s="33" t="s">
        <v>236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customFormat="false" ht="42" hidden="false" customHeight="true" outlineLevel="0" collapsed="false">
      <c r="A24" s="6" t="s">
        <v>155</v>
      </c>
      <c r="B24" s="6" t="s">
        <v>156</v>
      </c>
      <c r="C24" s="6" t="s">
        <v>157</v>
      </c>
      <c r="D24" s="6" t="s">
        <v>158</v>
      </c>
      <c r="E24" s="6" t="s">
        <v>159</v>
      </c>
      <c r="F24" s="6" t="s">
        <v>160</v>
      </c>
      <c r="G24" s="6" t="s">
        <v>161</v>
      </c>
      <c r="H24" s="6" t="s">
        <v>162</v>
      </c>
      <c r="I24" s="6" t="s">
        <v>163</v>
      </c>
      <c r="J24" s="6" t="s">
        <v>164</v>
      </c>
      <c r="K24" s="6" t="s">
        <v>165</v>
      </c>
      <c r="L24" s="6" t="s">
        <v>166</v>
      </c>
      <c r="M24" s="6" t="s">
        <v>167</v>
      </c>
      <c r="N24" s="6" t="s">
        <v>168</v>
      </c>
      <c r="O24" s="6" t="s">
        <v>169</v>
      </c>
      <c r="P24" s="6" t="s">
        <v>170</v>
      </c>
      <c r="Q24" s="6" t="s">
        <v>171</v>
      </c>
      <c r="R24" s="6" t="s">
        <v>172</v>
      </c>
      <c r="S24" s="6" t="s">
        <v>173</v>
      </c>
    </row>
    <row r="25" customFormat="false" ht="23.85" hidden="false" customHeight="false" outlineLevel="0" collapsed="false">
      <c r="A25" s="29" t="s">
        <v>174</v>
      </c>
      <c r="B25" s="24" t="s">
        <v>122</v>
      </c>
      <c r="C25" s="29" t="s">
        <v>237</v>
      </c>
      <c r="D25" s="29" t="s">
        <v>123</v>
      </c>
      <c r="E25" s="34" t="n">
        <f aca="false">Inputs!$B$4</f>
        <v>2000</v>
      </c>
      <c r="F25" s="35" t="s">
        <v>176</v>
      </c>
      <c r="G25" s="45" t="s">
        <v>201</v>
      </c>
      <c r="H25" s="17" t="n">
        <v>48</v>
      </c>
      <c r="I25" s="37" t="n">
        <v>0.75</v>
      </c>
      <c r="J25" s="8" t="s">
        <v>238</v>
      </c>
      <c r="K25" s="37" t="n">
        <v>0.15</v>
      </c>
      <c r="L25" s="27" t="n">
        <f aca="false">IF(F25="USD",Inputs!$B$6,1)</f>
        <v>1.38</v>
      </c>
      <c r="M25" s="20" t="n">
        <f aca="false">(I25+K25)*L25*(1+Inputs!$B$18)</f>
        <v>1.242</v>
      </c>
      <c r="N25" s="20" t="n">
        <v>0</v>
      </c>
      <c r="O25" s="20" t="n">
        <f aca="false">$O$29/SUM($E$25:$E$27)</f>
        <v>0.279</v>
      </c>
      <c r="P25" s="38" t="n">
        <f aca="false">M25+N25+O25</f>
        <v>1.521</v>
      </c>
      <c r="Q25" s="39" t="n">
        <f aca="false">P25*E25</f>
        <v>3042</v>
      </c>
      <c r="R25" s="20" t="n">
        <f aca="false">Inputs!$B$11-P25</f>
        <v>1.919</v>
      </c>
      <c r="S25" s="40" t="s">
        <v>239</v>
      </c>
    </row>
    <row r="26" customFormat="false" ht="22.35" hidden="false" customHeight="false" outlineLevel="0" collapsed="false">
      <c r="A26" s="29" t="s">
        <v>179</v>
      </c>
      <c r="B26" s="24" t="s">
        <v>129</v>
      </c>
      <c r="C26" s="29" t="s">
        <v>240</v>
      </c>
      <c r="D26" s="29" t="s">
        <v>128</v>
      </c>
      <c r="E26" s="34" t="n">
        <f aca="false">Inputs!$B$4</f>
        <v>2000</v>
      </c>
      <c r="F26" s="35" t="s">
        <v>176</v>
      </c>
      <c r="G26" s="45" t="s">
        <v>201</v>
      </c>
      <c r="H26" s="17" t="n">
        <v>60</v>
      </c>
      <c r="I26" s="37" t="n">
        <v>1.57</v>
      </c>
      <c r="J26" s="8" t="s">
        <v>196</v>
      </c>
      <c r="K26" s="37" t="n">
        <v>0.15</v>
      </c>
      <c r="L26" s="27" t="n">
        <f aca="false">IF(F26="USD",Inputs!$B$6,1)</f>
        <v>1.38</v>
      </c>
      <c r="M26" s="20" t="n">
        <f aca="false">(I26+K26)*L26*(1+Inputs!$B$18)</f>
        <v>2.3736</v>
      </c>
      <c r="N26" s="20" t="n">
        <v>0</v>
      </c>
      <c r="O26" s="20" t="n">
        <f aca="false">$O$29/SUM($E$25:$E$27)</f>
        <v>0.279</v>
      </c>
      <c r="P26" s="38" t="n">
        <f aca="false">M26+N26+O26</f>
        <v>2.6526</v>
      </c>
      <c r="Q26" s="39" t="n">
        <f aca="false">P26*E26</f>
        <v>5305.2</v>
      </c>
      <c r="R26" s="20" t="n">
        <f aca="false">Inputs!$B$11-P26</f>
        <v>0.787400000000001</v>
      </c>
      <c r="S26" s="40" t="s">
        <v>239</v>
      </c>
    </row>
    <row r="27" customFormat="false" ht="22.35" hidden="false" customHeight="false" outlineLevel="0" collapsed="false">
      <c r="A27" s="29" t="s">
        <v>182</v>
      </c>
      <c r="B27" s="24" t="s">
        <v>129</v>
      </c>
      <c r="C27" s="29" t="s">
        <v>240</v>
      </c>
      <c r="D27" s="29" t="s">
        <v>128</v>
      </c>
      <c r="E27" s="34" t="n">
        <f aca="false">Inputs!$B$4</f>
        <v>2000</v>
      </c>
      <c r="F27" s="35" t="s">
        <v>176</v>
      </c>
      <c r="G27" s="45" t="s">
        <v>201</v>
      </c>
      <c r="H27" s="17" t="n">
        <v>60</v>
      </c>
      <c r="I27" s="37" t="n">
        <v>1.57</v>
      </c>
      <c r="J27" s="8" t="s">
        <v>196</v>
      </c>
      <c r="K27" s="37" t="n">
        <v>0.15</v>
      </c>
      <c r="L27" s="27" t="n">
        <f aca="false">IF(F27="USD",Inputs!$B$6,1)</f>
        <v>1.38</v>
      </c>
      <c r="M27" s="20" t="n">
        <f aca="false">(I27+K27)*L27*(1+Inputs!$B$18)</f>
        <v>2.3736</v>
      </c>
      <c r="N27" s="20" t="n">
        <v>0</v>
      </c>
      <c r="O27" s="20" t="n">
        <f aca="false">$O$29/SUM($E$25:$E$27)</f>
        <v>0.279</v>
      </c>
      <c r="P27" s="38" t="n">
        <f aca="false">M27+N27+O27</f>
        <v>2.6526</v>
      </c>
      <c r="Q27" s="39" t="n">
        <f aca="false">P27*E27</f>
        <v>5305.2</v>
      </c>
      <c r="R27" s="20" t="n">
        <f aca="false">Inputs!$B$11-P27</f>
        <v>0.787400000000001</v>
      </c>
      <c r="S27" s="40" t="s">
        <v>239</v>
      </c>
    </row>
    <row r="28" customFormat="false" ht="15" hidden="false" customHeight="false" outlineLevel="0" collapsed="false">
      <c r="A28" s="41" t="s">
        <v>186</v>
      </c>
      <c r="B28" s="42"/>
      <c r="C28" s="42"/>
      <c r="D28" s="42"/>
      <c r="E28" s="43" t="n">
        <f aca="false">SUM(E25:E27)</f>
        <v>6000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38" t="n">
        <f aca="false">Q28/E28</f>
        <v>2.2754</v>
      </c>
      <c r="Q28" s="44" t="n">
        <f aca="false">SUM(Q25:Q27)</f>
        <v>13652.4</v>
      </c>
      <c r="R28" s="38" t="n">
        <f aca="false">Inputs!$B$11-P28</f>
        <v>1.1646</v>
      </c>
      <c r="S28" s="42"/>
    </row>
    <row r="29" customFormat="false" ht="15" hidden="false" customHeight="false" outlineLevel="0" collapsed="false">
      <c r="A29" s="2" t="s">
        <v>187</v>
      </c>
      <c r="O29" s="39" t="n">
        <f aca="false">Inputs!$B$14*Inputs!$B$6+Inputs!$B$15</f>
        <v>1674</v>
      </c>
      <c r="P29" s="2" t="s">
        <v>188</v>
      </c>
    </row>
    <row r="31" customFormat="false" ht="15" hidden="false" customHeight="false" outlineLevel="0" collapsed="false">
      <c r="A31" s="5" t="s">
        <v>241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customFormat="false" ht="30" hidden="false" customHeight="true" outlineLevel="0" collapsed="false">
      <c r="A32" s="33" t="s">
        <v>242</v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customFormat="false" ht="42" hidden="false" customHeight="true" outlineLevel="0" collapsed="false">
      <c r="A33" s="6" t="s">
        <v>155</v>
      </c>
      <c r="B33" s="6" t="s">
        <v>156</v>
      </c>
      <c r="C33" s="6" t="s">
        <v>157</v>
      </c>
      <c r="D33" s="6" t="s">
        <v>158</v>
      </c>
      <c r="E33" s="6" t="s">
        <v>159</v>
      </c>
      <c r="F33" s="6" t="s">
        <v>160</v>
      </c>
      <c r="G33" s="6" t="s">
        <v>161</v>
      </c>
      <c r="H33" s="6" t="s">
        <v>162</v>
      </c>
      <c r="I33" s="6" t="s">
        <v>163</v>
      </c>
      <c r="J33" s="6" t="s">
        <v>164</v>
      </c>
      <c r="K33" s="6" t="s">
        <v>165</v>
      </c>
      <c r="L33" s="6" t="s">
        <v>166</v>
      </c>
      <c r="M33" s="6" t="s">
        <v>167</v>
      </c>
      <c r="N33" s="6" t="s">
        <v>168</v>
      </c>
      <c r="O33" s="6" t="s">
        <v>169</v>
      </c>
      <c r="P33" s="6" t="s">
        <v>170</v>
      </c>
      <c r="Q33" s="6" t="s">
        <v>171</v>
      </c>
      <c r="R33" s="6" t="s">
        <v>172</v>
      </c>
      <c r="S33" s="6" t="s">
        <v>173</v>
      </c>
    </row>
    <row r="34" customFormat="false" ht="15" hidden="false" customHeight="false" outlineLevel="0" collapsed="false">
      <c r="A34" s="29" t="s">
        <v>174</v>
      </c>
      <c r="B34" s="24" t="s">
        <v>243</v>
      </c>
      <c r="C34" s="29" t="s">
        <v>244</v>
      </c>
      <c r="D34" s="29" t="s">
        <v>123</v>
      </c>
      <c r="E34" s="34" t="n">
        <f aca="false">Inputs!$B$4</f>
        <v>2000</v>
      </c>
      <c r="F34" s="35" t="s">
        <v>176</v>
      </c>
      <c r="G34" s="36" t="n">
        <v>90</v>
      </c>
      <c r="H34" s="17" t="n">
        <v>90</v>
      </c>
      <c r="I34" s="26" t="n">
        <f aca="false">G34/H34</f>
        <v>1</v>
      </c>
      <c r="J34" s="8" t="s">
        <v>245</v>
      </c>
      <c r="K34" s="37" t="n">
        <v>0.26</v>
      </c>
      <c r="L34" s="27" t="n">
        <f aca="false">IF(F34="USD",Inputs!$B$6,1)</f>
        <v>1.38</v>
      </c>
      <c r="M34" s="20" t="n">
        <f aca="false">(I34+K34)*L34*(1+Inputs!$B$18)</f>
        <v>1.7388</v>
      </c>
      <c r="N34" s="20" t="n">
        <v>0</v>
      </c>
      <c r="O34" s="20" t="n">
        <f aca="false">$O$38/SUM($E$34:$E$36)</f>
        <v>0.279</v>
      </c>
      <c r="P34" s="38" t="n">
        <f aca="false">M34+N34+O34</f>
        <v>2.0178</v>
      </c>
      <c r="Q34" s="39" t="n">
        <f aca="false">P34*E34</f>
        <v>4035.6</v>
      </c>
      <c r="R34" s="20" t="n">
        <f aca="false">Inputs!$B$11-P34</f>
        <v>1.4222</v>
      </c>
      <c r="S34" s="40" t="s">
        <v>246</v>
      </c>
    </row>
    <row r="35" customFormat="false" ht="15" hidden="false" customHeight="false" outlineLevel="0" collapsed="false">
      <c r="A35" s="29" t="s">
        <v>179</v>
      </c>
      <c r="B35" s="24" t="s">
        <v>247</v>
      </c>
      <c r="C35" s="29" t="s">
        <v>248</v>
      </c>
      <c r="D35" s="29" t="s">
        <v>249</v>
      </c>
      <c r="E35" s="34" t="n">
        <f aca="false">Inputs!$B$4</f>
        <v>2000</v>
      </c>
      <c r="F35" s="35" t="s">
        <v>176</v>
      </c>
      <c r="G35" s="36" t="n">
        <v>69.88</v>
      </c>
      <c r="H35" s="17" t="n">
        <v>105</v>
      </c>
      <c r="I35" s="26" t="n">
        <f aca="false">G35/H35</f>
        <v>0.66552380952381</v>
      </c>
      <c r="J35" s="8" t="s">
        <v>250</v>
      </c>
      <c r="K35" s="37" t="n">
        <v>0.26</v>
      </c>
      <c r="L35" s="27" t="n">
        <f aca="false">IF(F35="USD",Inputs!$B$6,1)</f>
        <v>1.38</v>
      </c>
      <c r="M35" s="20" t="n">
        <f aca="false">(I35+K35)*L35*(1+Inputs!$B$18)</f>
        <v>1.27722285714286</v>
      </c>
      <c r="N35" s="20" t="n">
        <v>0</v>
      </c>
      <c r="O35" s="20" t="n">
        <f aca="false">$O$38/SUM($E$34:$E$36)</f>
        <v>0.279</v>
      </c>
      <c r="P35" s="38" t="n">
        <f aca="false">M35+N35+O35</f>
        <v>1.55622285714286</v>
      </c>
      <c r="Q35" s="39" t="n">
        <f aca="false">P35*E35</f>
        <v>3112.44571428571</v>
      </c>
      <c r="R35" s="20" t="n">
        <f aca="false">Inputs!$B$11-P35</f>
        <v>1.88377714285714</v>
      </c>
      <c r="S35" s="40" t="s">
        <v>251</v>
      </c>
    </row>
    <row r="36" customFormat="false" ht="15" hidden="false" customHeight="false" outlineLevel="0" collapsed="false">
      <c r="A36" s="29" t="s">
        <v>182</v>
      </c>
      <c r="B36" s="24" t="s">
        <v>252</v>
      </c>
      <c r="C36" s="29" t="s">
        <v>253</v>
      </c>
      <c r="D36" s="29" t="s">
        <v>254</v>
      </c>
      <c r="E36" s="34" t="n">
        <f aca="false">Inputs!$B$4</f>
        <v>2000</v>
      </c>
      <c r="F36" s="35" t="s">
        <v>176</v>
      </c>
      <c r="G36" s="36" t="n">
        <v>70.59</v>
      </c>
      <c r="H36" s="17" t="n">
        <v>72</v>
      </c>
      <c r="I36" s="26" t="n">
        <f aca="false">G36/H36</f>
        <v>0.980416666666667</v>
      </c>
      <c r="J36" s="8" t="s">
        <v>255</v>
      </c>
      <c r="K36" s="37" t="n">
        <v>0.26</v>
      </c>
      <c r="L36" s="27" t="n">
        <f aca="false">IF(F36="USD",Inputs!$B$6,1)</f>
        <v>1.38</v>
      </c>
      <c r="M36" s="20" t="n">
        <f aca="false">(I36+K36)*L36*(1+Inputs!$B$18)</f>
        <v>1.711775</v>
      </c>
      <c r="N36" s="20" t="n">
        <v>0</v>
      </c>
      <c r="O36" s="20" t="n">
        <f aca="false">$O$38/SUM($E$34:$E$36)</f>
        <v>0.279</v>
      </c>
      <c r="P36" s="38" t="n">
        <f aca="false">M36+N36+O36</f>
        <v>1.990775</v>
      </c>
      <c r="Q36" s="39" t="n">
        <f aca="false">P36*E36</f>
        <v>3981.55</v>
      </c>
      <c r="R36" s="20" t="n">
        <f aca="false">Inputs!$B$11-P36</f>
        <v>1.449225</v>
      </c>
      <c r="S36" s="40" t="s">
        <v>251</v>
      </c>
    </row>
    <row r="37" customFormat="false" ht="15" hidden="false" customHeight="false" outlineLevel="0" collapsed="false">
      <c r="A37" s="41" t="s">
        <v>186</v>
      </c>
      <c r="B37" s="42"/>
      <c r="C37" s="42"/>
      <c r="D37" s="42"/>
      <c r="E37" s="43" t="n">
        <f aca="false">SUM(E34:E36)</f>
        <v>6000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38" t="n">
        <f aca="false">Q37/E37</f>
        <v>1.85493261904762</v>
      </c>
      <c r="Q37" s="44" t="n">
        <f aca="false">SUM(Q34:Q36)</f>
        <v>11129.5957142857</v>
      </c>
      <c r="R37" s="38" t="n">
        <f aca="false">Inputs!$B$11-P37</f>
        <v>1.58506738095238</v>
      </c>
      <c r="S37" s="42"/>
    </row>
    <row r="38" customFormat="false" ht="15" hidden="false" customHeight="false" outlineLevel="0" collapsed="false">
      <c r="A38" s="2" t="s">
        <v>187</v>
      </c>
      <c r="O38" s="39" t="n">
        <f aca="false">Inputs!$B$14*Inputs!$B$6+Inputs!$B$15</f>
        <v>1674</v>
      </c>
      <c r="P38" s="2" t="s">
        <v>188</v>
      </c>
    </row>
  </sheetData>
  <mergeCells count="8">
    <mergeCell ref="A4:S4"/>
    <mergeCell ref="A5:S5"/>
    <mergeCell ref="A13:S13"/>
    <mergeCell ref="A14:S14"/>
    <mergeCell ref="A22:S22"/>
    <mergeCell ref="A23:S23"/>
    <mergeCell ref="A31:S31"/>
    <mergeCell ref="A32:S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30"/>
    <col collapsed="false" customWidth="true" hidden="false" outlineLevel="0" max="8" min="8" style="0" width="28"/>
    <col collapsed="false" customWidth="true" hidden="false" outlineLevel="0" max="9" min="9" style="0" width="30"/>
    <col collapsed="false" customWidth="true" hidden="false" outlineLevel="0" max="10" min="10" style="0" width="50"/>
  </cols>
  <sheetData>
    <row r="1" customFormat="false" ht="17.35" hidden="false" customHeight="false" outlineLevel="0" collapsed="false">
      <c r="A1" s="1" t="s">
        <v>256</v>
      </c>
    </row>
    <row r="2" customFormat="false" ht="15" hidden="false" customHeight="false" outlineLevel="0" collapsed="false">
      <c r="A2" s="2" t="s">
        <v>257</v>
      </c>
    </row>
    <row r="4" customFormat="false" ht="23.85" hidden="false" customHeight="false" outlineLevel="0" collapsed="false">
      <c r="A4" s="23" t="s">
        <v>258</v>
      </c>
      <c r="B4" s="23" t="s">
        <v>259</v>
      </c>
      <c r="C4" s="23" t="s">
        <v>260</v>
      </c>
      <c r="D4" s="23" t="s">
        <v>261</v>
      </c>
      <c r="E4" s="23" t="s">
        <v>262</v>
      </c>
      <c r="F4" s="23" t="s">
        <v>263</v>
      </c>
      <c r="G4" s="23" t="s">
        <v>264</v>
      </c>
      <c r="H4" s="23" t="s">
        <v>265</v>
      </c>
      <c r="I4" s="23" t="s">
        <v>266</v>
      </c>
      <c r="J4" s="23" t="s">
        <v>267</v>
      </c>
    </row>
    <row r="5" customFormat="false" ht="23.85" hidden="false" customHeight="false" outlineLevel="0" collapsed="false">
      <c r="A5" s="47" t="s">
        <v>268</v>
      </c>
      <c r="B5" s="47" t="s">
        <v>269</v>
      </c>
      <c r="C5" s="47" t="s">
        <v>270</v>
      </c>
      <c r="D5" s="47" t="s">
        <v>271</v>
      </c>
      <c r="E5" s="47" t="s">
        <v>272</v>
      </c>
      <c r="F5" s="47" t="s">
        <v>272</v>
      </c>
      <c r="G5" s="47" t="s">
        <v>273</v>
      </c>
      <c r="H5" s="47" t="s">
        <v>274</v>
      </c>
      <c r="I5" s="47" t="s">
        <v>275</v>
      </c>
      <c r="J5" s="47" t="s">
        <v>276</v>
      </c>
    </row>
    <row r="6" customFormat="false" ht="23.85" hidden="false" customHeight="false" outlineLevel="0" collapsed="false">
      <c r="A6" s="47" t="s">
        <v>268</v>
      </c>
      <c r="B6" s="47" t="s">
        <v>277</v>
      </c>
      <c r="C6" s="47" t="s">
        <v>278</v>
      </c>
      <c r="D6" s="47" t="s">
        <v>279</v>
      </c>
      <c r="E6" s="47" t="s">
        <v>272</v>
      </c>
      <c r="F6" s="47" t="s">
        <v>272</v>
      </c>
      <c r="G6" s="47" t="s">
        <v>280</v>
      </c>
      <c r="H6" s="47" t="s">
        <v>281</v>
      </c>
      <c r="I6" s="47" t="s">
        <v>282</v>
      </c>
      <c r="J6" s="47" t="s">
        <v>283</v>
      </c>
    </row>
    <row r="7" customFormat="false" ht="23.85" hidden="false" customHeight="false" outlineLevel="0" collapsed="false">
      <c r="A7" s="47" t="s">
        <v>268</v>
      </c>
      <c r="B7" s="47" t="s">
        <v>284</v>
      </c>
      <c r="C7" s="47" t="s">
        <v>285</v>
      </c>
      <c r="D7" s="47" t="s">
        <v>286</v>
      </c>
      <c r="E7" s="47" t="s">
        <v>287</v>
      </c>
      <c r="F7" s="47" t="s">
        <v>288</v>
      </c>
      <c r="G7" s="47" t="s">
        <v>289</v>
      </c>
      <c r="H7" s="47" t="s">
        <v>290</v>
      </c>
      <c r="I7" s="47" t="s">
        <v>291</v>
      </c>
      <c r="J7" s="47" t="s">
        <v>292</v>
      </c>
    </row>
    <row r="8" customFormat="false" ht="23.85" hidden="false" customHeight="false" outlineLevel="0" collapsed="false">
      <c r="A8" s="8" t="s">
        <v>268</v>
      </c>
      <c r="B8" s="8" t="s">
        <v>293</v>
      </c>
      <c r="C8" s="8" t="s">
        <v>294</v>
      </c>
      <c r="D8" s="8" t="s">
        <v>295</v>
      </c>
      <c r="E8" s="8" t="s">
        <v>272</v>
      </c>
      <c r="F8" s="8" t="s">
        <v>272</v>
      </c>
      <c r="G8" s="8" t="s">
        <v>296</v>
      </c>
      <c r="H8" s="8" t="s">
        <v>297</v>
      </c>
      <c r="I8" s="8" t="s">
        <v>298</v>
      </c>
      <c r="J8" s="8" t="s">
        <v>299</v>
      </c>
    </row>
    <row r="9" customFormat="false" ht="23.85" hidden="false" customHeight="false" outlineLevel="0" collapsed="false">
      <c r="A9" s="8" t="s">
        <v>268</v>
      </c>
      <c r="B9" s="8" t="s">
        <v>300</v>
      </c>
      <c r="C9" s="8" t="s">
        <v>285</v>
      </c>
      <c r="D9" s="8" t="s">
        <v>301</v>
      </c>
      <c r="E9" s="8" t="s">
        <v>287</v>
      </c>
      <c r="F9" s="8" t="s">
        <v>302</v>
      </c>
      <c r="G9" s="8" t="s">
        <v>303</v>
      </c>
      <c r="H9" s="8" t="s">
        <v>304</v>
      </c>
      <c r="I9" s="8" t="s">
        <v>305</v>
      </c>
      <c r="J9" s="8" t="s">
        <v>306</v>
      </c>
    </row>
    <row r="10" customFormat="false" ht="23.85" hidden="false" customHeight="false" outlineLevel="0" collapsed="false">
      <c r="A10" s="8" t="s">
        <v>268</v>
      </c>
      <c r="B10" s="8" t="s">
        <v>307</v>
      </c>
      <c r="C10" s="8" t="s">
        <v>270</v>
      </c>
      <c r="D10" s="8" t="s">
        <v>308</v>
      </c>
      <c r="E10" s="8" t="s">
        <v>287</v>
      </c>
      <c r="F10" s="8" t="s">
        <v>309</v>
      </c>
      <c r="G10" s="8" t="s">
        <v>310</v>
      </c>
      <c r="H10" s="8" t="s">
        <v>311</v>
      </c>
      <c r="I10" s="8" t="s">
        <v>312</v>
      </c>
      <c r="J10" s="8" t="s">
        <v>313</v>
      </c>
    </row>
    <row r="11" customFormat="false" ht="23.85" hidden="false" customHeight="false" outlineLevel="0" collapsed="false">
      <c r="A11" s="8" t="s">
        <v>268</v>
      </c>
      <c r="B11" s="8" t="s">
        <v>314</v>
      </c>
      <c r="C11" s="8" t="s">
        <v>315</v>
      </c>
      <c r="D11" s="8" t="s">
        <v>316</v>
      </c>
      <c r="E11" s="8" t="s">
        <v>287</v>
      </c>
      <c r="F11" s="8" t="s">
        <v>317</v>
      </c>
      <c r="G11" s="8" t="s">
        <v>318</v>
      </c>
      <c r="H11" s="8" t="s">
        <v>319</v>
      </c>
      <c r="I11" s="8" t="s">
        <v>320</v>
      </c>
      <c r="J11" s="8" t="s">
        <v>321</v>
      </c>
    </row>
    <row r="12" customFormat="false" ht="35.05" hidden="false" customHeight="false" outlineLevel="0" collapsed="false">
      <c r="A12" s="8" t="s">
        <v>268</v>
      </c>
      <c r="B12" s="8" t="s">
        <v>322</v>
      </c>
      <c r="C12" s="8" t="s">
        <v>323</v>
      </c>
      <c r="D12" s="8" t="s">
        <v>324</v>
      </c>
      <c r="E12" s="8" t="s">
        <v>325</v>
      </c>
      <c r="F12" s="8" t="s">
        <v>272</v>
      </c>
      <c r="G12" s="8" t="s">
        <v>326</v>
      </c>
      <c r="H12" s="8" t="s">
        <v>327</v>
      </c>
      <c r="I12" s="8" t="s">
        <v>328</v>
      </c>
      <c r="J12" s="8" t="s">
        <v>329</v>
      </c>
    </row>
    <row r="13" customFormat="false" ht="23.85" hidden="false" customHeight="false" outlineLevel="0" collapsed="false">
      <c r="A13" s="8" t="s">
        <v>268</v>
      </c>
      <c r="B13" s="8" t="s">
        <v>330</v>
      </c>
      <c r="C13" s="8" t="s">
        <v>331</v>
      </c>
      <c r="D13" s="8" t="s">
        <v>316</v>
      </c>
      <c r="E13" s="8" t="s">
        <v>287</v>
      </c>
      <c r="F13" s="8" t="s">
        <v>317</v>
      </c>
      <c r="G13" s="8" t="s">
        <v>332</v>
      </c>
      <c r="H13" s="8" t="s">
        <v>333</v>
      </c>
      <c r="I13" s="8" t="s">
        <v>334</v>
      </c>
      <c r="J13" s="8" t="s">
        <v>335</v>
      </c>
    </row>
    <row r="14" customFormat="false" ht="23.85" hidden="false" customHeight="false" outlineLevel="0" collapsed="false">
      <c r="A14" s="8" t="s">
        <v>268</v>
      </c>
      <c r="B14" s="8" t="s">
        <v>336</v>
      </c>
      <c r="C14" s="8" t="s">
        <v>337</v>
      </c>
      <c r="D14" s="8" t="s">
        <v>338</v>
      </c>
      <c r="E14" s="8" t="s">
        <v>287</v>
      </c>
      <c r="F14" s="8" t="s">
        <v>339</v>
      </c>
      <c r="G14" s="8" t="s">
        <v>296</v>
      </c>
      <c r="H14" s="8" t="s">
        <v>52</v>
      </c>
      <c r="I14" s="8" t="s">
        <v>334</v>
      </c>
      <c r="J14" s="8" t="s">
        <v>340</v>
      </c>
    </row>
    <row r="15" customFormat="false" ht="23.85" hidden="false" customHeight="false" outlineLevel="0" collapsed="false">
      <c r="A15" s="8" t="s">
        <v>268</v>
      </c>
      <c r="B15" s="8" t="s">
        <v>341</v>
      </c>
      <c r="C15" s="8" t="s">
        <v>337</v>
      </c>
      <c r="D15" s="8" t="s">
        <v>342</v>
      </c>
      <c r="E15" s="8" t="s">
        <v>287</v>
      </c>
      <c r="F15" s="8" t="s">
        <v>309</v>
      </c>
      <c r="G15" s="8" t="s">
        <v>343</v>
      </c>
      <c r="H15" s="8" t="s">
        <v>52</v>
      </c>
      <c r="I15" s="8" t="s">
        <v>344</v>
      </c>
      <c r="J15" s="8" t="s">
        <v>345</v>
      </c>
    </row>
    <row r="16" customFormat="false" ht="23.85" hidden="false" customHeight="false" outlineLevel="0" collapsed="false">
      <c r="A16" s="8" t="s">
        <v>268</v>
      </c>
      <c r="B16" s="8" t="s">
        <v>346</v>
      </c>
      <c r="C16" s="8" t="s">
        <v>347</v>
      </c>
      <c r="D16" s="8" t="s">
        <v>308</v>
      </c>
      <c r="E16" s="8" t="s">
        <v>287</v>
      </c>
      <c r="F16" s="8" t="s">
        <v>309</v>
      </c>
      <c r="G16" s="8" t="s">
        <v>348</v>
      </c>
      <c r="H16" s="8" t="s">
        <v>52</v>
      </c>
      <c r="I16" s="8" t="s">
        <v>349</v>
      </c>
      <c r="J16" s="8" t="s">
        <v>350</v>
      </c>
    </row>
    <row r="17" customFormat="false" ht="23.85" hidden="false" customHeight="false" outlineLevel="0" collapsed="false">
      <c r="A17" s="8" t="s">
        <v>268</v>
      </c>
      <c r="B17" s="8" t="s">
        <v>351</v>
      </c>
      <c r="C17" s="8" t="s">
        <v>337</v>
      </c>
      <c r="D17" s="8" t="s">
        <v>352</v>
      </c>
      <c r="E17" s="8" t="s">
        <v>287</v>
      </c>
      <c r="F17" s="8" t="s">
        <v>309</v>
      </c>
      <c r="G17" s="8" t="s">
        <v>353</v>
      </c>
      <c r="H17" s="8" t="s">
        <v>354</v>
      </c>
      <c r="I17" s="8" t="s">
        <v>355</v>
      </c>
      <c r="J17" s="8" t="s">
        <v>356</v>
      </c>
    </row>
    <row r="18" customFormat="false" ht="23.85" hidden="false" customHeight="false" outlineLevel="0" collapsed="false">
      <c r="A18" s="8" t="s">
        <v>268</v>
      </c>
      <c r="B18" s="8" t="s">
        <v>357</v>
      </c>
      <c r="C18" s="8" t="s">
        <v>358</v>
      </c>
      <c r="D18" s="8" t="s">
        <v>359</v>
      </c>
      <c r="E18" s="8" t="s">
        <v>360</v>
      </c>
      <c r="F18" s="8" t="s">
        <v>272</v>
      </c>
      <c r="G18" s="8" t="s">
        <v>361</v>
      </c>
      <c r="H18" s="8" t="s">
        <v>362</v>
      </c>
      <c r="I18" s="8" t="s">
        <v>363</v>
      </c>
      <c r="J18" s="8" t="s">
        <v>364</v>
      </c>
    </row>
    <row r="19" customFormat="false" ht="23.85" hidden="false" customHeight="false" outlineLevel="0" collapsed="false">
      <c r="A19" s="47" t="s">
        <v>365</v>
      </c>
      <c r="B19" s="47" t="s">
        <v>366</v>
      </c>
      <c r="C19" s="47" t="s">
        <v>358</v>
      </c>
      <c r="D19" s="47" t="s">
        <v>367</v>
      </c>
      <c r="E19" s="47" t="s">
        <v>368</v>
      </c>
      <c r="F19" s="47" t="s">
        <v>272</v>
      </c>
      <c r="G19" s="47" t="s">
        <v>369</v>
      </c>
      <c r="H19" s="47" t="s">
        <v>370</v>
      </c>
      <c r="I19" s="47" t="s">
        <v>275</v>
      </c>
      <c r="J19" s="47" t="s">
        <v>364</v>
      </c>
    </row>
    <row r="20" customFormat="false" ht="23.85" hidden="false" customHeight="false" outlineLevel="0" collapsed="false">
      <c r="A20" s="47" t="s">
        <v>365</v>
      </c>
      <c r="B20" s="47" t="s">
        <v>371</v>
      </c>
      <c r="C20" s="47" t="s">
        <v>372</v>
      </c>
      <c r="D20" s="47" t="s">
        <v>373</v>
      </c>
      <c r="E20" s="47" t="s">
        <v>272</v>
      </c>
      <c r="F20" s="47" t="s">
        <v>272</v>
      </c>
      <c r="G20" s="47" t="s">
        <v>374</v>
      </c>
      <c r="H20" s="47" t="s">
        <v>375</v>
      </c>
      <c r="I20" s="47" t="s">
        <v>282</v>
      </c>
      <c r="J20" s="47" t="s">
        <v>376</v>
      </c>
    </row>
    <row r="21" customFormat="false" ht="23.85" hidden="false" customHeight="false" outlineLevel="0" collapsed="false">
      <c r="A21" s="47" t="s">
        <v>365</v>
      </c>
      <c r="B21" s="47" t="s">
        <v>377</v>
      </c>
      <c r="C21" s="47" t="s">
        <v>378</v>
      </c>
      <c r="D21" s="47" t="s">
        <v>379</v>
      </c>
      <c r="E21" s="47" t="s">
        <v>287</v>
      </c>
      <c r="F21" s="47" t="s">
        <v>380</v>
      </c>
      <c r="G21" s="47" t="s">
        <v>381</v>
      </c>
      <c r="H21" s="47" t="s">
        <v>333</v>
      </c>
      <c r="I21" s="47" t="s">
        <v>382</v>
      </c>
      <c r="J21" s="47" t="s">
        <v>383</v>
      </c>
    </row>
    <row r="22" customFormat="false" ht="23.85" hidden="false" customHeight="false" outlineLevel="0" collapsed="false">
      <c r="A22" s="8" t="s">
        <v>365</v>
      </c>
      <c r="B22" s="8" t="s">
        <v>384</v>
      </c>
      <c r="C22" s="8" t="s">
        <v>385</v>
      </c>
      <c r="D22" s="8" t="s">
        <v>386</v>
      </c>
      <c r="E22" s="8" t="s">
        <v>272</v>
      </c>
      <c r="F22" s="8" t="s">
        <v>272</v>
      </c>
      <c r="G22" s="8" t="s">
        <v>387</v>
      </c>
      <c r="H22" s="8" t="s">
        <v>52</v>
      </c>
      <c r="I22" s="8" t="s">
        <v>388</v>
      </c>
      <c r="J22" s="8" t="s">
        <v>389</v>
      </c>
    </row>
    <row r="23" customFormat="false" ht="23.85" hidden="false" customHeight="false" outlineLevel="0" collapsed="false">
      <c r="A23" s="8" t="s">
        <v>365</v>
      </c>
      <c r="B23" s="8" t="s">
        <v>390</v>
      </c>
      <c r="C23" s="8" t="s">
        <v>391</v>
      </c>
      <c r="D23" s="8" t="s">
        <v>392</v>
      </c>
      <c r="E23" s="8" t="s">
        <v>393</v>
      </c>
      <c r="F23" s="8" t="s">
        <v>394</v>
      </c>
      <c r="G23" s="8" t="s">
        <v>395</v>
      </c>
      <c r="H23" s="8" t="s">
        <v>396</v>
      </c>
      <c r="I23" s="8" t="s">
        <v>397</v>
      </c>
      <c r="J23" s="8" t="s">
        <v>398</v>
      </c>
    </row>
    <row r="24" customFormat="false" ht="23.85" hidden="false" customHeight="false" outlineLevel="0" collapsed="false">
      <c r="A24" s="8" t="s">
        <v>365</v>
      </c>
      <c r="B24" s="8" t="s">
        <v>307</v>
      </c>
      <c r="C24" s="8" t="s">
        <v>399</v>
      </c>
      <c r="D24" s="8" t="s">
        <v>400</v>
      </c>
      <c r="E24" s="8" t="s">
        <v>287</v>
      </c>
      <c r="F24" s="8" t="s">
        <v>401</v>
      </c>
      <c r="G24" s="8" t="s">
        <v>402</v>
      </c>
      <c r="H24" s="8" t="s">
        <v>403</v>
      </c>
      <c r="I24" s="8" t="s">
        <v>404</v>
      </c>
      <c r="J24" s="8" t="s">
        <v>405</v>
      </c>
    </row>
    <row r="25" customFormat="false" ht="23.85" hidden="false" customHeight="false" outlineLevel="0" collapsed="false">
      <c r="A25" s="8" t="s">
        <v>365</v>
      </c>
      <c r="B25" s="8" t="s">
        <v>406</v>
      </c>
      <c r="C25" s="8" t="s">
        <v>52</v>
      </c>
      <c r="D25" s="8" t="s">
        <v>407</v>
      </c>
      <c r="E25" s="8" t="s">
        <v>52</v>
      </c>
      <c r="F25" s="8" t="s">
        <v>394</v>
      </c>
      <c r="G25" s="8" t="s">
        <v>52</v>
      </c>
      <c r="H25" s="8" t="s">
        <v>52</v>
      </c>
      <c r="I25" s="8" t="s">
        <v>408</v>
      </c>
      <c r="J25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120"/>
  </cols>
  <sheetData>
    <row r="1" customFormat="false" ht="17.35" hidden="false" customHeight="false" outlineLevel="0" collapsed="false">
      <c r="A1" s="1" t="s">
        <v>409</v>
      </c>
    </row>
    <row r="3" customFormat="false" ht="15" hidden="false" customHeight="false" outlineLevel="0" collapsed="false">
      <c r="A3" s="28" t="s">
        <v>410</v>
      </c>
      <c r="B3" s="28" t="s">
        <v>411</v>
      </c>
      <c r="C3" s="28" t="s">
        <v>412</v>
      </c>
    </row>
    <row r="4" customFormat="false" ht="15" hidden="false" customHeight="false" outlineLevel="0" collapsed="false">
      <c r="A4" s="29" t="s">
        <v>413</v>
      </c>
      <c r="B4" s="29" t="s">
        <v>411</v>
      </c>
      <c r="C4" s="8" t="s">
        <v>414</v>
      </c>
    </row>
    <row r="5" customFormat="false" ht="23.85" hidden="false" customHeight="false" outlineLevel="0" collapsed="false">
      <c r="A5" s="29" t="s">
        <v>415</v>
      </c>
      <c r="B5" s="29" t="s">
        <v>411</v>
      </c>
      <c r="C5" s="8" t="s">
        <v>416</v>
      </c>
    </row>
    <row r="6" customFormat="false" ht="15" hidden="false" customHeight="false" outlineLevel="0" collapsed="false">
      <c r="A6" s="29" t="s">
        <v>417</v>
      </c>
      <c r="B6" s="29" t="s">
        <v>418</v>
      </c>
      <c r="C6" s="8" t="s">
        <v>419</v>
      </c>
    </row>
    <row r="7" customFormat="false" ht="15" hidden="false" customHeight="false" outlineLevel="0" collapsed="false">
      <c r="A7" s="29" t="s">
        <v>420</v>
      </c>
      <c r="B7" s="29" t="s">
        <v>418</v>
      </c>
      <c r="C7" s="8" t="s">
        <v>421</v>
      </c>
    </row>
    <row r="8" customFormat="false" ht="23.85" hidden="false" customHeight="false" outlineLevel="0" collapsed="false">
      <c r="A8" s="29" t="s">
        <v>422</v>
      </c>
      <c r="B8" s="29" t="s">
        <v>418</v>
      </c>
      <c r="C8" s="8" t="s">
        <v>423</v>
      </c>
    </row>
    <row r="9" customFormat="false" ht="23.85" hidden="false" customHeight="false" outlineLevel="0" collapsed="false">
      <c r="A9" s="29" t="s">
        <v>424</v>
      </c>
      <c r="B9" s="29" t="s">
        <v>425</v>
      </c>
      <c r="C9" s="8" t="s">
        <v>426</v>
      </c>
    </row>
    <row r="10" customFormat="false" ht="15" hidden="false" customHeight="false" outlineLevel="0" collapsed="false">
      <c r="A10" s="29" t="s">
        <v>427</v>
      </c>
      <c r="B10" s="29" t="s">
        <v>411</v>
      </c>
      <c r="C10" s="8" t="s">
        <v>428</v>
      </c>
    </row>
    <row r="11" customFormat="false" ht="23.85" hidden="false" customHeight="false" outlineLevel="0" collapsed="false">
      <c r="A11" s="29" t="s">
        <v>429</v>
      </c>
      <c r="B11" s="29" t="s">
        <v>411</v>
      </c>
      <c r="C11" s="8" t="s">
        <v>430</v>
      </c>
    </row>
    <row r="13" customFormat="false" ht="15" hidden="false" customHeight="false" outlineLevel="0" collapsed="false">
      <c r="A13" s="3" t="s">
        <v>431</v>
      </c>
    </row>
    <row r="14" customFormat="false" ht="30" hidden="false" customHeight="true" outlineLevel="0" collapsed="false">
      <c r="A14" s="48" t="s">
        <v>432</v>
      </c>
      <c r="B14" s="48"/>
      <c r="C14" s="48"/>
    </row>
    <row r="15" customFormat="false" ht="30" hidden="false" customHeight="true" outlineLevel="0" collapsed="false">
      <c r="A15" s="48" t="s">
        <v>433</v>
      </c>
      <c r="B15" s="48"/>
      <c r="C15" s="48"/>
    </row>
    <row r="16" customFormat="false" ht="30" hidden="false" customHeight="true" outlineLevel="0" collapsed="false">
      <c r="A16" s="48" t="s">
        <v>434</v>
      </c>
      <c r="B16" s="48"/>
      <c r="C16" s="48"/>
    </row>
  </sheetData>
  <mergeCells count="3">
    <mergeCell ref="A14:C14"/>
    <mergeCell ref="A15:C15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2026-10-09T15:11:36Z</dcterms:created>
  <dc:creator>openpyxl</dc:creator>
  <dc:description/>
  <dc:language>en-US</dc:language>
  <cp:lastModifiedBy/>
  <dcterms:modified xsi:type="dcterms:W3CDTF">2026-10-09T15:11:36Z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