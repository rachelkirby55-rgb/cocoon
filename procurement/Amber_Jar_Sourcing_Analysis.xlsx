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Inputs" sheetId="2" state="visible" r:id="rId4"/>
    <sheet name="Capsule Sizing" sheetId="3" state="visible" r:id="rId5"/>
    <sheet name="Regular Finish – Top 3" sheetId="4" state="visible" r:id="rId6"/>
    <sheet name="Frosted Finish – Top 3" sheetId="5" state="visible" r:id="rId7"/>
    <sheet name="Split Plan – Local vs China" sheetId="6" state="visible" r:id="rId8"/>
    <sheet name="All Suppliers Screened" sheetId="7" state="visible" r:id="rId9"/>
    <sheet name="Next Steps &amp; Questions" sheetId="8" state="visible" r:id="rId10"/>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$11.45/cs at 50–299 cases (base $13.33). burchbottle.com/4oz-Amber-Straight-Sided-Jar-58-400</t>
        </r>
      </text>
    </comment>
    <comment ref="G8" authorId="0">
      <text>
        <r>
          <rPr>
            <sz val="10"/>
            <rFont val="Arial"/>
            <family val="2"/>
          </rPr>
          <t xml:space="preserve">$6.07/cs at 67–479 cases (base $7.38). burchbottle.com/6oz-Amber-Straight-Sided-Jar-63-400</t>
        </r>
      </text>
    </comment>
    <comment ref="G9" authorId="0">
      <text>
        <r>
          <rPr>
            <sz val="10"/>
            <rFont val="Arial"/>
            <family val="2"/>
          </rPr>
          <t xml:space="preserve">$5.24/cs at 40–175 cases (base $5.95). Page header inconsistently says 'clear'. Confirm amber colour + colour match with the 4/6 oz.</t>
        </r>
      </text>
    </comment>
    <comment ref="G16" authorId="0">
      <text>
        <r>
          <rPr>
            <sz val="10"/>
            <rFont val="Arial"/>
            <family val="2"/>
          </rPr>
          <t xml:space="preserve">$12.15/cs at 48–155 cases (base $13.85).</t>
        </r>
      </text>
    </comment>
    <comment ref="G17" authorId="0">
      <text>
        <r>
          <rPr>
            <sz val="10"/>
            <rFont val="Arial"/>
            <family val="2"/>
          </rPr>
          <t xml:space="preserve">$7.40/cs at 60–259 cases (base $7.99).</t>
        </r>
      </text>
    </comment>
    <comment ref="G18" authorId="0">
      <text>
        <r>
          <rPr>
            <sz val="10"/>
            <rFont val="Arial"/>
            <family val="2"/>
          </rPr>
          <t xml:space="preserve">$5.60/cs at 64–175 cases (base $6.35).</t>
        </r>
      </text>
    </comment>
    <comment ref="I25" authorId="0">
      <text>
        <r>
          <rPr>
            <sz val="10"/>
            <rFont val="Arial"/>
            <family val="2"/>
          </rPr>
          <t xml:space="preserve">Xuzhou Das US$0.42 (1K–30K); Xuzhou Yanjia US$0.40 with black PP cap (MOQ 3,000); listings US$0.15–0.55.</t>
        </r>
      </text>
    </comment>
    <comment ref="I26"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27" authorId="0">
      <text>
        <r>
          <rPr>
            <sz val="10"/>
            <rFont val="Arial"/>
            <family val="2"/>
          </rPr>
          <t xml:space="preserve">Xuzhou Huiju 8/9 oz amber SS 70-400 with black lid US$0.30–0.50 (MOQ 100); Xuzhou Huihe US$0.40–0.65.</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listed. In stock.</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$0.14 at 1,650–9,899 (base $0.16).</t>
        </r>
      </text>
    </comment>
    <comment ref="K8" authorId="0">
      <text>
        <r>
          <rPr>
            <sz val="10"/>
            <rFont val="Arial"/>
            <family val="2"/>
          </rPr>
          <t xml:space="preserve">$0.11 at 1,500+ (base $0.13).</t>
        </r>
      </text>
    </comment>
    <comment ref="K9" authorId="0">
      <text>
        <r>
          <rPr>
            <sz val="10"/>
            <rFont val="Arial"/>
            <family val="2"/>
          </rPr>
          <t xml:space="preserve">$0.15 at 1,150+ (base $0.17).</t>
        </r>
      </text>
    </comment>
    <comment ref="K16" authorId="0">
      <text>
        <r>
          <rPr>
            <sz val="10"/>
            <rFont val="Arial"/>
            <family val="2"/>
          </rPr>
          <t xml:space="preserve">$125 per case of 1,100.</t>
        </r>
      </text>
    </comment>
    <comment ref="K17" authorId="0">
      <text>
        <r>
          <rPr>
            <sz val="10"/>
            <rFont val="Arial"/>
            <family val="2"/>
          </rPr>
          <t xml:space="preserve">$130 per case of 900.</t>
        </r>
      </text>
    </comment>
    <comment ref="K18" authorId="0">
      <text>
        <r>
          <rPr>
            <sz val="10"/>
            <rFont val="Arial"/>
            <family val="2"/>
          </rPr>
          <t xml:space="preserve">$0.22 each.</t>
        </r>
      </text>
    </comment>
    <comment ref="K25" authorId="0">
      <text>
        <r>
          <rPr>
            <sz val="10"/>
            <rFont val="Arial"/>
            <family val="2"/>
          </rPr>
          <t xml:space="preserve">ESTIMATE liner upgrade. 58-400 black PP caps w/ induction/PS liner list at US$0.05–0.06.</t>
        </r>
      </text>
    </comment>
    <comment ref="K26" authorId="0">
      <text>
        <r>
          <rPr>
            <sz val="10"/>
            <rFont val="Arial"/>
            <family val="2"/>
          </rPr>
          <t xml:space="preserve">ESTIMATE.</t>
        </r>
      </text>
    </comment>
    <comment ref="K27" authorId="0">
      <text>
        <r>
          <rPr>
            <sz val="10"/>
            <rFont val="Arial"/>
            <family val="2"/>
          </rPr>
          <t xml:space="preserve">ESTIMATE.</t>
        </r>
      </text>
    </comment>
    <comment ref="K34" authorId="0">
      <text>
        <r>
          <rPr>
            <sz val="10"/>
            <rFont val="Arial"/>
            <family val="2"/>
          </rPr>
          <t xml:space="preserve">PLACEHOLDER – cap price requires login/quote.</t>
        </r>
      </text>
    </comment>
    <comment ref="K35" authorId="0">
      <text>
        <r>
          <rPr>
            <sz val="10"/>
            <rFont val="Arial"/>
            <family val="2"/>
          </rPr>
          <t xml:space="preserve">PLACEHOLDER – quote required.</t>
        </r>
      </text>
    </comment>
    <comment ref="K36" authorId="0">
      <text>
        <r>
          <rPr>
            <sz val="10"/>
            <rFont val="Arial"/>
            <family val="2"/>
          </rPr>
          <t xml:space="preserve">PLACEHOLDER – quote required.</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$11.45/cs at 50–299 cases (base $13.33). burchbottle.com/4oz-Amber-Straight-Sided-Jar-58-400</t>
        </r>
      </text>
    </comment>
    <comment ref="G17" authorId="0">
      <text>
        <r>
          <rPr>
            <sz val="10"/>
            <rFont val="Arial"/>
            <family val="2"/>
          </rPr>
          <t xml:space="preserve">$6.07/cs at 67–479 cases (base $7.38). burchbottle.com/6oz-Amber-Straight-Sided-Jar-63-400</t>
        </r>
      </text>
    </comment>
    <comment ref="G18" authorId="0">
      <text>
        <r>
          <rPr>
            <sz val="10"/>
            <rFont val="Arial"/>
            <family val="2"/>
          </rPr>
          <t xml:space="preserve">$5.24/cs at 40–175 cases (base $5.95). Page header inconsistently says 'clear'. Confirm amber colour + colour match with the 4/6 oz.</t>
        </r>
      </text>
    </comment>
    <comment ref="G25" authorId="0">
      <text>
        <r>
          <rPr>
            <sz val="10"/>
            <rFont val="Arial"/>
            <family val="2"/>
          </rPr>
          <t xml:space="preserve">$12.15/cs at 48–155 cases (base $13.85).</t>
        </r>
      </text>
    </comment>
    <comment ref="G26" authorId="0">
      <text>
        <r>
          <rPr>
            <sz val="10"/>
            <rFont val="Arial"/>
            <family val="2"/>
          </rPr>
          <t xml:space="preserve">$7.40/cs at 60–259 cases (base $7.99).</t>
        </r>
      </text>
    </comment>
    <comment ref="G27" authorId="0">
      <text>
        <r>
          <rPr>
            <sz val="10"/>
            <rFont val="Arial"/>
            <family val="2"/>
          </rPr>
          <t xml:space="preserve">$5.60/cs at 64–175 cases (base $6.35).</t>
        </r>
      </text>
    </comment>
    <comment ref="I7" authorId="0">
      <text>
        <r>
          <rPr>
            <sz val="10"/>
            <rFont val="Arial"/>
            <family val="2"/>
          </rPr>
          <t xml:space="preserve">Xuzhou Das lists frosted amber 2/4/8 oz at US$0.41 (2,000–29,999, MOQ 2,000); $0.46 used to stay conservative.</t>
        </r>
      </text>
    </comment>
    <comment ref="I8" authorId="0">
      <text>
        <r>
          <rPr>
            <sz val="10"/>
            <rFont val="Arial"/>
            <family val="2"/>
          </rPr>
          <t xml:space="preserve">Heshun Glass lists a true 6 oz 63-400 amber SS jar (price not indexed); 180 ml SS amber with black lid €0.16–0.25 (MOQ 2,000) and US$0.36–0.45 (MOQ 3,000). Must be ≤190 ml to look half full at size 0.</t>
        </r>
      </text>
    </comment>
    <comment ref="I9" authorId="0">
      <text>
        <r>
          <rPr>
            <sz val="10"/>
            <rFont val="Arial"/>
            <family val="2"/>
          </rPr>
          <t xml:space="preserve">Xuzhou Huiju 8/9 oz amber SS 70-400 with black lid US$0.30–0.50 (MOQ 100); Xuzhou Huihe US$0.40–0.65.</t>
        </r>
      </text>
    </comment>
    <comment ref="I34" authorId="0">
      <text>
        <r>
          <rPr>
            <sz val="10"/>
            <rFont val="Arial"/>
            <family val="2"/>
          </rPr>
          <t xml:space="preserve">US$0.75 indexed; out of stock / not available online at time of indexing.</t>
        </r>
      </text>
    </comment>
    <comment ref="I35" authorId="0">
      <text>
        <r>
          <rPr>
            <sz val="10"/>
            <rFont val="Arial"/>
            <family val="2"/>
          </rPr>
          <t xml:space="preserve">US$1.57 latest (older snapshot $1.42).</t>
        </r>
      </text>
    </comment>
    <comment ref="I36" authorId="0">
      <text>
        <r>
          <rPr>
            <sz val="10"/>
            <rFont val="Arial"/>
            <family val="2"/>
          </rPr>
          <t xml:space="preserve">US$1.57 latest (older snapshot $1.42 with 10,958 in stock).</t>
        </r>
      </text>
    </comment>
    <comment ref="K7" authorId="0">
      <text>
        <r>
          <rPr>
            <sz val="10"/>
            <rFont val="Arial"/>
            <family val="2"/>
          </rPr>
          <t xml:space="preserve">ESTIMATE liner upgrade. 58-400 black PP caps w/ induction/PS liner list at US$0.05–0.06.</t>
        </r>
      </text>
    </comment>
    <comment ref="K8" authorId="0">
      <text>
        <r>
          <rPr>
            <sz val="10"/>
            <rFont val="Arial"/>
            <family val="2"/>
          </rPr>
          <t xml:space="preserve">ESTIMATE.</t>
        </r>
      </text>
    </comment>
    <comment ref="K9" authorId="0">
      <text>
        <r>
          <rPr>
            <sz val="10"/>
            <rFont val="Arial"/>
            <family val="2"/>
          </rPr>
          <t xml:space="preserve">ESTIMATE.</t>
        </r>
      </text>
    </comment>
    <comment ref="K16" authorId="0">
      <text>
        <r>
          <rPr>
            <sz val="10"/>
            <rFont val="Arial"/>
            <family val="2"/>
          </rPr>
          <t xml:space="preserve">$0.14 at 1,650–9,899 (base $0.16).</t>
        </r>
      </text>
    </comment>
    <comment ref="K17" authorId="0">
      <text>
        <r>
          <rPr>
            <sz val="10"/>
            <rFont val="Arial"/>
            <family val="2"/>
          </rPr>
          <t xml:space="preserve">$0.11 at 1,500+ (base $0.13).</t>
        </r>
      </text>
    </comment>
    <comment ref="K18" authorId="0">
      <text>
        <r>
          <rPr>
            <sz val="10"/>
            <rFont val="Arial"/>
            <family val="2"/>
          </rPr>
          <t xml:space="preserve">$0.15 at 1,150+ (base $0.17).</t>
        </r>
      </text>
    </comment>
    <comment ref="K25" authorId="0">
      <text>
        <r>
          <rPr>
            <sz val="10"/>
            <rFont val="Arial"/>
            <family val="2"/>
          </rPr>
          <t xml:space="preserve">$125 per case of 1,100.</t>
        </r>
      </text>
    </comment>
    <comment ref="K26" authorId="0">
      <text>
        <r>
          <rPr>
            <sz val="10"/>
            <rFont val="Arial"/>
            <family val="2"/>
          </rPr>
          <t xml:space="preserve">$130 per case of 900.</t>
        </r>
      </text>
    </comment>
    <comment ref="K27" authorId="0">
      <text>
        <r>
          <rPr>
            <sz val="10"/>
            <rFont val="Arial"/>
            <family val="2"/>
          </rPr>
          <t xml:space="preserve">$0.22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ASSUMPTION.</t>
        </r>
      </text>
    </comment>
  </commentList>
</comments>
</file>

<file path=xl/sharedStrings.xml><?xml version="1.0" encoding="utf-8"?>
<sst xmlns="http://schemas.openxmlformats.org/spreadsheetml/2006/main" count="1332" uniqueCount="550">
  <si>
    <t xml:space="preserve">Cocoon Supplements – Amber Straight-Sided Jar Sourcing</t>
  </si>
  <si>
    <t xml:space="preserve">Prepared by the procurement agent, updated Oct 9, 2026. Landed cost = jar + cap + freight, brokerage and one-time costs, in CAD per unit. Order: 2,000 units per SKU (Balance 30ct, new 60ct, new 90ct).</t>
  </si>
  <si>
    <t xml:space="preserve">⚠ NEW: Canada has reportedly applied a 50% surtax to US-MADE glass containers since Sept 8, 2026 (US Surtax Order 2026). It applies by where the jar was made, not where it ships from. Ask the US suppliers for country of origin before ordering.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</si>
  <si>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</si>
  <si>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</si>
  <si>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6,000 jars from one supplier)</t>
  </si>
  <si>
    <t xml:space="preserve">Rank</t>
  </si>
  <si>
    <t xml:space="preserve">Option</t>
  </si>
  <si>
    <t xml:space="preserve">Jar sizes (30 / 60 / 90 ct)</t>
  </si>
  <si>
    <t xml:space="preserve">Landed CAD/unit</t>
  </si>
  <si>
    <t xml:space="preserve">Landed if US-made (surtax)</t>
  </si>
  <si>
    <t xml:space="preserve">Total 6,000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</si>
  <si>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</si>
  <si>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</si>
  <si>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</si>
  <si>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</si>
  <si>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</si>
  <si>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</si>
  <si>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</si>
  <si>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</si>
  <si>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</si>
  <si>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</si>
  <si>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</si>
  <si>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</si>
  <si>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</si>
  <si>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</si>
  <si>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</si>
  <si>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</si>
  <si>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</si>
  <si>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</si>
  <si>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</si>
  <si>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</si>
  <si>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</si>
  <si>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</si>
  <si>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</si>
  <si>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</si>
  <si>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</si>
  <si>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</si>
  <si>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</si>
  <si>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</si>
  <si>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</si>
  <si>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</si>
  <si>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</si>
  <si>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Plan</t>
  </si>
  <si>
    <t xml:space="preserve">Description</t>
  </si>
  <si>
    <t xml:space="preserve">Total (CAD)</t>
  </si>
  <si>
    <t xml:space="preserve">Total if US-made</t>
  </si>
  <si>
    <t xml:space="preserve">vs all-local</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</si>
  <si>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</si>
  <si>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</si>
  <si>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</si>
  <si>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</si>
  <si>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</si>
  <si>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</si>
  <si>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</si>
  <si>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</si>
  <si>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</si>
  <si>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</si>
  <si>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</si>
  <si>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</si>
  <si>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RECOMMENDED – the owner's FLEX PLAN (works for regular or frosted):</t>
  </si>
  <si>
    <t xml:space="preserve">  1. Now: buy 2,000 x 6 oz locally (Burch / Fillmore / Containers &amp; Packaging Supply). The 60ct needs a 6 oz whether it is size 0 or 00, so these jars are never wasted.</t>
  </si>
  <si>
    <t xml:space="preserve">  2. At production: pour-test 90 capsules in the 6 oz. Fits (size 0) → launch the 90ct first. Doesn't fit (size 00) → launch the 60ct first.</t>
  </si>
  <si>
    <t xml:space="preserve">  3. Same week: place ONE China order: Balance 4 oz + the remaining SKU's jar (6 oz, or 250–270 ml if the 90ct is size 00). Approve China samples of BOTH sizes beforehand so the order goes in immediately.</t>
  </si>
  <si>
    <t xml:space="preserve">WATCH-OUTS: the 6 oz test for 90 x size 0 is tight (~94% of space incl. headspace). Ask suppliers for BRIM-FULL capacity and pick the roomiest 6 oz. Ask your manufacturer how long finished capsules can be held in bulk while the 2nd SKU's China jars arrive.</t>
  </si>
  <si>
    <t xml:space="preserve">SIZES (half-full rule): 4 oz for Balance (same look as today); 6 oz / 180–190 ml for the 60ct; for the 90ct, 6 oz if size 0, 250–270 ml if size 00.</t>
  </si>
  <si>
    <t xml:space="preserve">FIRST ACTIONS: (1) can your manufacturer fill straight-sided jars? (2) country of origin + brim-full capacity of the 6 oz from Burch/Fillmore; (3) China RFQ + samples. See 'Next Steps &amp; Questions'.</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</si>
  <si>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</si>
  <si>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</si>
  <si>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</si>
  <si>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per SKU per order</t>
  </si>
  <si>
    <t xml:space="preserve">From owner: ~2K per SKU.</t>
  </si>
  <si>
    <t xml:space="preserve">Number of SKUs</t>
  </si>
  <si>
    <t xml:space="preserve">Balance (30x size 0) + new 60ct + new 90ct.</t>
  </si>
  <si>
    <t xml:space="preserve">USD → CAD exchange rate</t>
  </si>
  <si>
    <t xml:space="preserve">Assumption, Oct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</si>
  <si>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</si>
  <si>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</si>
  <si>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</si>
  <si>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</si>
  <si>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</si>
  <si>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</si>
  <si>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</si>
  <si>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</si>
  <si>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</si>
  <si>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</si>
  <si>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FULL ORDER (all 6,000 from one source)</t>
  </si>
  <si>
    <t xml:space="preserve">US → Canada LTL freight, ~2–3 pallets (USD)</t>
  </si>
  <si>
    <t xml:space="preserve">ESTIMATE: midpoint of US$700–1,400. Get freight quotes to your postal code.</t>
  </si>
  <si>
    <t xml:space="preserve">Customs brokerage, US import (CAD)</t>
  </si>
  <si>
    <t xml:space="preserve">ESTIMATE: CAD 150–300 typical.</t>
  </si>
  <si>
    <t xml:space="preserve">Domestic Canada freight, ~2–3 pallets (CAD)</t>
  </si>
  <si>
    <t xml:space="preserve">ESTIMATE for Canadian-warehouse suppliers (Richards, Uline).</t>
  </si>
  <si>
    <t xml:space="preserve">China → your door, LCL ~3.5 m³ incl. port fees, brokerage, delivery (CAD)</t>
  </si>
  <si>
    <t xml:space="preserve">ESTIMATE. Research put a 2.5 m³ shipment at ~CAD 1,500 (range 900–2,500); scaled up for 6,000 jars.</t>
  </si>
  <si>
    <t xml:space="preserve">FREIGHT – SPLIT ORDER (one SKU local, two SKUs from China)</t>
  </si>
  <si>
    <t xml:space="preserve">US → Canada LTL, ONE pallet ~2,000 jars (USD)</t>
  </si>
  <si>
    <t xml:space="preserve">ESTIMATE: US$300–550 for a 900–1,300 lb pallet (Freightera samples ~US$260–280 for 500 lb NY→Toronto).</t>
  </si>
  <si>
    <t xml:space="preserve">Customs brokerage, one-pallet US import (CAD)</t>
  </si>
  <si>
    <t xml:space="preserve">ESTIMATE: CAD 80–250.</t>
  </si>
  <si>
    <t xml:space="preserve">Domestic Canada freight, ONE pallet (CAD)</t>
  </si>
  <si>
    <t xml:space="preserve">ESTIMATE: CAD 150–450 (Freightera samples).</t>
  </si>
  <si>
    <t xml:space="preserve">China → your door, LCL for 4 oz + 9 oz (~2.5 m³) (CAD)</t>
  </si>
  <si>
    <t xml:space="preserve">ESTIMATE: ocean ~US$375 + destination ~US$300 + forwarder ~US$75 + brokerage ~CAD 175 + delivery ~CAD 250. Range CAD 900–2,500.</t>
  </si>
  <si>
    <t xml:space="preserve">China → your door, LCL for 4 oz + 6 oz (~2.1 m³) (CAD)</t>
  </si>
  <si>
    <t xml:space="preserve">ESTIMATE, as above for a slightly smaller shipment.</t>
  </si>
  <si>
    <t xml:space="preserve">China samples + third-party QC inspection + wire fees (CAD, one-time)</t>
  </si>
  <si>
    <t xml:space="preserve">ESTIMATE.</t>
  </si>
  <si>
    <t xml:space="preserve">DUTY &amp; SURTAX</t>
  </si>
  <si>
    <t xml:space="preserve">Import duty, glass jars HS 7010.90 (MFN – applies to China and US)</t>
  </si>
  <si>
    <t xml:space="preserve">MFN rate = Free per CBSA Customs Tariff T2026, ch. 70 (search-indexed copy). Confirm with your broker.</t>
  </si>
  <si>
    <t xml:space="preserve">Canadian surtax on US-MADE glass containers</t>
  </si>
  <si>
    <t xml:space="preserve">REPORTED, NOT YET CONFIRMED: US Surtax Order (2026), CBSA Customs Notice 26-23, in force Sept 8, 2026 – 'glass containers' at 50%. Applies by country of ORIGIN (where the jar was made), not where it ships from. Confirm the tariff item with a customs broker.</t>
  </si>
  <si>
    <t xml:space="preserve">FROSTING / DECORATION (estimates – quote required)</t>
  </si>
  <si>
    <t xml:space="preserve">North American spray-frost per jar (CAD)</t>
  </si>
  <si>
    <t xml:space="preserve">ESTIMATE: CAD 0.30–0.60/jar (e.g. Stanpac Ink, Ontario). Quote required.</t>
  </si>
  <si>
    <t xml:space="preserve">North American spray-frost setup per SKU (CAD)</t>
  </si>
  <si>
    <t xml:space="preserve">ESTIMATE: CAD 300–1,000 per SKU.</t>
  </si>
  <si>
    <t xml:space="preserve">Freight to/from decorator (CAD)</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</si>
  <si>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</si>
  <si>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</si>
  <si>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</si>
  <si>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</si>
  <si>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</si>
  <si>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</si>
  <si>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</si>
  <si>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</si>
  <si>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</si>
  <si>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</si>
  <si>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</si>
  <si>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</si>
  <si>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</si>
  <si>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</si>
  <si>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</si>
  <si>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</si>
  <si>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</si>
  <si>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</si>
  <si>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</si>
  <si>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</si>
  <si>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Jar</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</si>
  <si>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</si>
  <si>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</si>
  <si>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</si>
  <si>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</si>
  <si>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</si>
  <si>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</si>
  <si>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</si>
  <si>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</si>
  <si>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</si>
  <si>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</si>
  <si>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</si>
  <si>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</si>
  <si>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</si>
  <si>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</si>
  <si>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</si>
  <si>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</si>
  <si>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</si>
  <si>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</si>
  <si>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</si>
  <si>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</si>
  <si>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</si>
  <si>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</si>
  <si>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</si>
  <si>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</si>
  <si>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</si>
  <si>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</si>
  <si>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</si>
  <si>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</si>
  <si>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</si>
  <si>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</si>
  <si>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90ct if size 0: fits a 6 oz (~81% full, but tight – ~94% of space incl. headspace) or a 190 ml (comfortable). This is what makes the owner's flex plan work: buy 6 oz now and pour-test at production.</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</si>
  <si>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</si>
  <si>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</si>
  <si>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6,000 jars</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</si>
  <si>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</si>
  <si>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</si>
  <si>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</si>
  <si>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</si>
  <si>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</si>
  <si>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</si>
  <si>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</si>
  <si>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Qty</t>
  </si>
  <si>
    <t xml:space="preserve">Currency</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</si>
  <si>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</si>
  <si>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</si>
  <si>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</si>
  <si>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</si>
  <si>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</si>
  <si>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</si>
  <si>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</si>
  <si>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</si>
  <si>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</si>
  <si>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LANDED (CAD/unit)</t>
  </si>
  <si>
    <t xml:space="preserve">Extended (CAD)</t>
  </si>
  <si>
    <t xml:space="preserve">50% surtax IF jar is US-made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</si>
  <si>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</si>
  <si>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</si>
  <si>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</si>
  <si>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</si>
  <si>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</si>
  <si>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</si>
  <si>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USD</t>
  </si>
  <si>
    <t xml:space="preserve">2BP0581PX black PP ribbed, F217 liner</t>
  </si>
  <si>
    <t xml:space="preserve">Indexed web price at volume break – verify by quote</t>
  </si>
  <si>
    <t xml:space="preserve">New A – 60ct (0 or 00)</t>
  </si>
  <si>
    <t xml:space="preserve">1SSA062GHG</t>
  </si>
  <si>
    <t xml:space="preserve">2BP0632PX black PP, F217 liner</t>
  </si>
  <si>
    <t xml:space="preserve">New B – 90ct (0 or 00)</t>
  </si>
  <si>
    <t xml:space="preserve">1SSA092SGC</t>
  </si>
  <si>
    <t xml:space="preserve">2BP0701PX black PP, F217 liner (PS22 tamper-evident version: 2BP0706MR)</t>
  </si>
  <si>
    <t xml:space="preserve">Indexed web price at volume break – verify by quote. Confirm colour is amber.</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</si>
  <si>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</si>
  <si>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</si>
  <si>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</si>
  <si>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</si>
  <si>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</si>
  <si>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</si>
  <si>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</si>
  <si>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</si>
  <si>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63-400 black PP ribbed, F217 liner</t>
  </si>
  <si>
    <t xml:space="preserve">B09-30C (case 12)</t>
  </si>
  <si>
    <t xml:space="preserve">70-400 black PP,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</si>
  <si>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</si>
  <si>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</si>
  <si>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</si>
  <si>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Yanjia</t>
  </si>
  <si>
    <t xml:space="preserve">58-400 (specify)</t>
  </si>
  <si>
    <t xml:space="preserve">n/a</t>
  </si>
  <si>
    <t xml:space="preserve">Upgrade to glass-rated induction or PS22 liner (basic black PP cap incl. in jar price)</t>
  </si>
  <si>
    <t xml:space="preserve">ESTIMATE from Alibaba / Made-in-China listings – RFQ required</t>
  </si>
  <si>
    <t xml:space="preserve">180–190 ml</t>
  </si>
  <si>
    <t xml:space="preserve">amber SS jar – Heshun 6 oz 63-400 / 180 ml sellers</t>
  </si>
  <si>
    <t xml:space="preserve">63-400 (specify)</t>
  </si>
  <si>
    <t xml:space="preserve">Glass-rated liner upgrade</t>
  </si>
  <si>
    <t xml:space="preserve">ESTIMATE from Alibaba / Made-in-China listings – RFQ required. 180–190 ml is less standard – confirm by RFQ.</t>
  </si>
  <si>
    <t xml:space="preserve">250–270 ml</t>
  </si>
  <si>
    <t xml:space="preserve">amber SS jar – Xuzhou Huiju 8/9 oz 70-400</t>
  </si>
  <si>
    <t xml:space="preserve">ESTIMATE from Alibaba / Made-in-China listings – RFQ required. Prefer ≥260 ml brim-full.</t>
  </si>
  <si>
    <t xml:space="preserve">Calc: China LCL door-to-door + samples/QC (Inputs)</t>
  </si>
  <si>
    <t xml:space="preserve">REFERENCE (fails the half-full rule for the 60ct):  RICHARDS PACKAGING (Canada)  –  4 oz / 9 oz</t>
  </si>
  <si>
    <t xml:space="preserve">Canadian stock, CAD pricing, no border. Origin of the 4 oz is China, so no surtax. No 6 oz, so it can't do the 60ct. Its 9 oz IS a strong option for the 90ct in a split order (see Split Plan sheet). Cap price is a placeholder (quote required).</t>
  </si>
  <si>
    <t xml:space="preserve">RP-1159A / 40210181</t>
  </si>
  <si>
    <t xml:space="preserve">CAD</t>
  </si>
  <si>
    <t xml:space="preserve">58-400 black PP smooth, F217 liner</t>
  </si>
  <si>
    <t xml:space="preserve">Jar: indexed web price. Cap: QUOTE REQUIRED (placeholder)</t>
  </si>
  <si>
    <t xml:space="preserve">New A – 60ct ✗ (9 oz looks &lt; half)</t>
  </si>
  <si>
    <t xml:space="preserve">RP-1001A / 40220146</t>
  </si>
  <si>
    <t xml:space="preserve">70-400 black PP</t>
  </si>
  <si>
    <t xml:space="preserve">FAILS half-full rule for 60ct</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</si>
  <si>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</si>
  <si>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</si>
  <si>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</si>
  <si>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</si>
  <si>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</si>
  <si>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</si>
  <si>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</si>
  <si>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</si>
  <si>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</si>
  <si>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</si>
  <si>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6,000 jars</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</si>
  <si>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</si>
  <si>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</si>
  <si>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</si>
  <si>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Yanjia</t>
  </si>
  <si>
    <t xml:space="preserve">frosted (acid-etch/sandblast) amber SS jar – Heshun 6 oz 63-400 / 180 ml sellers</t>
  </si>
  <si>
    <t xml:space="preserve">frosted (acid-etch/sandblast) amber SS jar – Xuzhou Huiju 8/9 oz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</si>
  <si>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</si>
  <si>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</si>
  <si>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</si>
  <si>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</si>
  <si>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</si>
  <si>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</si>
  <si>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the half-full rule for the 60ct):  LIQUID BOTTLES (Florida, US) – stock frosted amber  –  4 oz / 9 oz</t>
  </si>
  <si>
    <t xml:space="preserve">The only North American stock line with frosted amber 4 oz + 9 oz (58-400 / 70-400). No 6 oz, so it can't do the 60ct. Its 9 oz is an option for the 90ct in a split order. Stock is unreliable ('call for availability').</t>
  </si>
  <si>
    <t xml:space="preserve">GJ402-F (frosted)</t>
  </si>
  <si>
    <t xml:space="preserve">58-400 black PP, F217 liner</t>
  </si>
  <si>
    <t xml:space="preserve">Indexed web price – call to confirm stock + pallet pricing</t>
  </si>
  <si>
    <t xml:space="preserve">GJ908-H (frosted amber)</t>
  </si>
  <si>
    <t xml:space="preserve">Split sourcing: buy one launch SKU locally now, the other two from China (~3 months)?</t>
  </si>
  <si>
    <t xml:space="preserve">Plan A = all 6,000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</si>
  <si>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</si>
  <si>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</si>
  <si>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</si>
  <si>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</si>
  <si>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</si>
  <si>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</si>
  <si>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</si>
  <si>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</si>
  <si>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</si>
  <si>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</si>
  <si>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</si>
  <si>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</si>
  <si>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</si>
  <si>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</si>
  <si>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</si>
  <si>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</si>
  <si>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</si>
  <si>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</si>
  <si>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</si>
  <si>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</si>
  <si>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</si>
  <si>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</si>
  <si>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</si>
  <si>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</si>
  <si>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</si>
  <si>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FLEX PLAN (owner's plan, recommended):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</si>
  <si>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</si>
  <si>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At ~2,000 jars per size, China's fixed costs (LCL freight, brokerage, samples, QC) are ~CAD 0.50/jar.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</si>
  <si>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</si>
  <si>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</si>
  <si>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</si>
  <si>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6,000 local: Burch 4/6/9 oz</t>
  </si>
  <si>
    <t xml:space="preserve">Source</t>
  </si>
  <si>
    <t xml:space="preserve">Ships from</t>
  </si>
  <si>
    <t xml:space="preserve">Jar + cap price (native)</t>
  </si>
  <si>
    <t xml:space="preserve">FX</t>
  </si>
  <si>
    <t xml:space="preserve">Goods (CAD/unit)</t>
  </si>
  <si>
    <t xml:space="preserve">Frosting (CAD/unit)</t>
  </si>
  <si>
    <t xml:space="preserve">Freight &amp; one-time (CAD/unit)</t>
  </si>
  <si>
    <t xml:space="preserve">50% surtax if US-made (CAD/unit)</t>
  </si>
  <si>
    <t xml:space="preserve">LANDED if US-made</t>
  </si>
  <si>
    <t xml:space="preserve">Balance – 30ct</t>
  </si>
  <si>
    <t xml:space="preserve">Burch (local)</t>
  </si>
  <si>
    <t xml:space="preserve">US</t>
  </si>
  <si>
    <t xml:space="preserve">New A – 60ct</t>
  </si>
  <si>
    <t xml:space="preserve">New B – 90ct</t>
  </si>
  <si>
    <t xml:space="preserve">TOTAL / average</t>
  </si>
  <si>
    <t xml:space="preserve">R-B1  –  FLEX PLAN, outcome 90ct = size 00: 6 oz bought locally goes to the 60ct (launches first) · Balance + 90ct (9 oz / 250–270 ml) from China</t>
  </si>
  <si>
    <t xml:space="preserve">China direct</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</si>
  <si>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</si>
  <si>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</si>
  <si>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</si>
  <si>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</si>
  <si>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</si>
  <si>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</si>
  <si>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</si>
  <si>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Canada</t>
  </si>
  <si>
    <t xml:space="preserve">R-C  –  All 6,000 from China (reference – too slow for the urgent launch)</t>
  </si>
  <si>
    <t xml:space="preserve">FROSTED amber – scenario detail</t>
  </si>
  <si>
    <t xml:space="preserve">F-A  –  All 6,000 local: Burch 4/6/9 oz + Canadian spray-frost</t>
  </si>
  <si>
    <t xml:space="preserve">Burch + spray frost</t>
  </si>
  <si>
    <t xml:space="preserve">F-B1  –  FLEX PLAN, outcome 90ct = size 00: 6 oz (Burch + spray frost) local → 60ct · Balance + 90ct frosted from China</t>
  </si>
  <si>
    <t xml:space="preserve">China direct (frosted)</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</si>
  <si>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</si>
  <si>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</si>
  <si>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</si>
  <si>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</si>
  <si>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</si>
  <si>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</si>
  <si>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6,000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</si>
  <si>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</si>
  <si>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</si>
  <si>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Finish</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</si>
  <si>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</si>
  <si>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</si>
  <si>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</si>
  <si>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</si>
  <si>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</si>
  <si>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</si>
  <si>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</si>
  <si>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</si>
  <si>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</si>
  <si>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Regular</t>
  </si>
  <si>
    <t xml:space="preserve">Burch Bottle &amp; Packaging</t>
  </si>
  <si>
    <t xml:space="preserve">NY, USA (USD). Origin unknown – surtax risk</t>
  </si>
  <si>
    <t xml:space="preserve">4 (58-400), 6 (63-400), 9 (70-400), 16 oz</t>
  </si>
  <si>
    <t xml:space="preserve">4oz $0.48 · 6oz $0.51 · 9oz $0.44 at ~2K</t>
  </si>
  <si>
    <t xml:space="preserve">Black PP F217 $0.11–0.15; PS22 TE option (70-400)</t>
  </si>
  <si>
    <t xml:space="preserve">TOP 3 – #1 (local)</t>
  </si>
  <si>
    <t xml:space="preserve">https://www.burchbottle.com/6oz-Amber-Straight-Sided-Jar-63-400</t>
  </si>
  <si>
    <t xml:space="preserve">Fillmore Container</t>
  </si>
  <si>
    <t xml:space="preserve">PA, USA (USD); ships to Canada. Origin unknown</t>
  </si>
  <si>
    <t xml:space="preserve">4, 6, 9, 16 oz</t>
  </si>
  <si>
    <t xml:space="preserve">4oz $0.51 · 6oz $0.62 · 9oz $0.47</t>
  </si>
  <si>
    <t xml:space="preserve">Black PP F217 $0.11–0.22</t>
  </si>
  <si>
    <t xml:space="preserve">TOP 3 – #2</t>
  </si>
  <si>
    <t xml:space="preserve">https://www.fillmorecontainer.com/6-oz-amber-straight-sided-jar-case-of-12.html</t>
  </si>
  <si>
    <t xml:space="preserve">China direct – Xuzhou Das / Xuzhou Yanjia / Heshun / Xuzhou Huiju</t>
  </si>
  <si>
    <t xml:space="preserve">China (USD FOB)</t>
  </si>
  <si>
    <t xml:space="preserve">120 ml, 180 ml / 6 oz 63-400 (Heshun), 8–9 oz 70-400 (Huiju)</t>
  </si>
  <si>
    <t xml:space="preserve">Yes (Heshun, 180 ml sellers)</t>
  </si>
  <si>
    <t xml:space="preserve">Yes (via RFQ)</t>
  </si>
  <si>
    <t xml:space="preserve">US$0.30–0.55 with basic cap; MOQ 100–3,000</t>
  </si>
  <si>
    <t xml:space="preserve">58-400 PP w/ induction/PS liner US$0.05–0.06</t>
  </si>
  <si>
    <t xml:space="preserve">TOP 3 – #3 / split plan</t>
  </si>
  <si>
    <t xml:space="preserve">https://xuzhouglass.en.made-in-china.com/product/kTgYypxAIMWG/China-2oz-4oz-8oz-Amber-Glass-Jar-with-Straight-Sided-and-Black-PP-Cap.html</t>
  </si>
  <si>
    <t xml:space="preserve">Containers &amp; Packaging Supply</t>
  </si>
  <si>
    <t xml:space="preserve">ID, USA (USD)</t>
  </si>
  <si>
    <t xml:space="preserve">4 (G850AM), 6 (G506AM), 9 (G842AM), 16 oz</t>
  </si>
  <si>
    <t xml:space="preserve">Quote required</t>
  </si>
  <si>
    <t xml:space="preserve">Not verified</t>
  </si>
  <si>
    <t xml:space="preserve">Alternate – get a quote</t>
  </si>
  <si>
    <t xml:space="preserve">https://www.containerandpackaging.com/products/glass-straight-sided-jar/g506am/</t>
  </si>
  <si>
    <t xml:space="preserve">Richards Packaging</t>
  </si>
  <si>
    <t xml:space="preserve">Canada (CAD); 4 oz made in China</t>
  </si>
  <si>
    <t xml:space="preserve">4 oz, 9 oz</t>
  </si>
  <si>
    <t xml:space="preserve">No</t>
  </si>
  <si>
    <t xml:space="preserve">No (60ct) – 9 oz good for 90ct</t>
  </si>
  <si>
    <t xml:space="preserve">4oz $0.96 · 9oz $0.99 CAD</t>
  </si>
  <si>
    <t xml:space="preserve">Quote/login required</t>
  </si>
  <si>
    <t xml:space="preserve">Use for 90ct in split plan</t>
  </si>
  <si>
    <t xml:space="preserve">https://richardspackaging.com/products/9-oz-amber-glass-straight-sided-jar-70-400-12-rp-1001a</t>
  </si>
  <si>
    <t xml:space="preserve">Uline Canada</t>
  </si>
  <si>
    <t xml:space="preserve">Canada (CAD)</t>
  </si>
  <si>
    <t xml:space="preserve">1, 2, 4, 8 oz</t>
  </si>
  <si>
    <t xml:space="preserve">4oz $1.67 · 8oz $2.35 CAD incl. phenolic cap</t>
  </si>
  <si>
    <t xml:space="preserve">Phenolic pulp/vinyl – not airtight, no induction</t>
  </si>
  <si>
    <t xml:space="preserve">Reference only – ~2x cost</t>
  </si>
  <si>
    <t xml:space="preserve">https://www.uline.ca/Product/Detail/S-24532/Jars/Amber-Straight-Sided-Glass-Jars-4-oz-Phenolic-Cap</t>
  </si>
  <si>
    <t xml:space="preserve">SKS Bottle &amp; Packaging</t>
  </si>
  <si>
    <t xml:space="preserve">NY, USA (USD)</t>
  </si>
  <si>
    <t xml:space="preserve">4, 8 oz</t>
  </si>
  <si>
    <t xml:space="preserve">4oz $0.49 · 8oz $0.88 (jar only)</t>
  </si>
  <si>
    <t xml:space="preserve">Induction-lined caps available (63/70 mm)</t>
  </si>
  <si>
    <t xml:space="preserve">Not shortlisted</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</si>
  <si>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</si>
  <si>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</si>
  <si>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</si>
  <si>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</si>
  <si>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</si>
  <si>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</si>
  <si>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https://www.specialtybottle.com/glass-jars/amber-straight-sided/4oz-salv4a</t>
  </si>
  <si>
    <t xml:space="preserve">The Bottle Depot</t>
  </si>
  <si>
    <t xml:space="preserve">USA (USD)</t>
  </si>
  <si>
    <t xml:space="preserve">4 (58-400), 6 (54-410), 8 (71-410)</t>
  </si>
  <si>
    <t xml:space="preserve">Yes (odd neck)</t>
  </si>
  <si>
    <t xml:space="preserve">Partly – mismatched necks</t>
  </si>
  <si>
    <t xml:space="preserve">4oz $0.62 · 6oz $0.66 · 8oz $0.98</t>
  </si>
  <si>
    <t xml:space="preserve">Separate, $0.26</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</si>
  <si>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</si>
  <si>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</si>
  <si>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</si>
  <si>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</si>
  <si>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</si>
  <si>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</si>
  <si>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</si>
  <si>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</si>
  <si>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</si>
  <si>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</si>
  <si>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</si>
  <si>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</si>
  <si>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</si>
  <si>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</si>
  <si>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</si>
  <si>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</si>
  <si>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</si>
  <si>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4oz ~$1.77 · 8oz ~$1.71–1.95 retail</t>
  </si>
  <si>
    <t xml:space="preserve">https://www.voyageursoapandcandle.com/collections/glass-jars</t>
  </si>
  <si>
    <t xml:space="preserve">Bottlestore</t>
  </si>
  <si>
    <t xml:space="preserve">4 (58-405), 8 oz (70-405)</t>
  </si>
  <si>
    <t xml:space="preserve">4oz $0.64 · 8oz $0.46 (24-pk)</t>
  </si>
  <si>
    <t xml:space="preserve">Metal cap w/ heat-seal liner $0.37</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</si>
  <si>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</si>
  <si>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</si>
  <si>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</si>
  <si>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</si>
  <si>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</si>
  <si>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</si>
  <si>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</si>
  <si>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</si>
  <si>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</si>
  <si>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</si>
  <si>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Frosted</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</si>
  <si>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</si>
  <si>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</si>
  <si>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</si>
  <si>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</si>
  <si>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</si>
  <si>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</si>
  <si>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</si>
  <si>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https://daspacking.en.made-in-china.com/product/CdRGEuVYJmpN/China-Wholesale-2oz-4oz-8oz-60g-120g-250g-Frosted-Clear-Amber-Airtight-Straight-Sided-Round-Face-Cosmetic-Cream-Candle-Glass-Jar-and-Container-with-Lids.html</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</si>
  <si>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</si>
  <si>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</si>
  <si>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</si>
  <si>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</si>
  <si>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</si>
  <si>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</si>
  <si>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</si>
  <si>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</si>
  <si>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</si>
  <si>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</si>
  <si>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</si>
  <si>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</si>
  <si>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</si>
  <si>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4 oz (GJ402-F), 9 oz (GJ908-H) frosted amber</t>
  </si>
  <si>
    <t xml:space="preserve">No (60ct) – 9 oz OK for 90ct</t>
  </si>
  <si>
    <t xml:space="preserve">4oz $0.75 · 9oz $1.42–1.57</t>
  </si>
  <si>
    <t xml:space="preserve">90ct option in split plan (stock risk)</t>
  </si>
  <si>
    <t xml:space="preserve">https://www.liquidbottles.com/products/3311/9oz-Frosted-Amber-Glass-Jar-70-400-60cs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</si>
  <si>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</si>
  <si>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</si>
  <si>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</si>
  <si>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</si>
  <si>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</si>
  <si>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</si>
  <si>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</si>
  <si>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</si>
  <si>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</si>
  <si>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</si>
  <si>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</si>
  <si>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</si>
  <si>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</si>
  <si>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</si>
  <si>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0.5–4 oz</t>
  </si>
  <si>
    <t xml:space="preserve">No (plain only)</t>
  </si>
  <si>
    <t xml:space="preserve">4oz frosted $0.75–1.00</t>
  </si>
  <si>
    <t xml:space="preserve">$0.26 PE liner</t>
  </si>
  <si>
    <t xml:space="preserve">FAILS – frosted only up to 4 oz</t>
  </si>
  <si>
    <t xml:space="preserve">https://thebottledepot.co/collections/frosted-glass-jars</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</si>
  <si>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</si>
  <si>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</si>
  <si>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</si>
  <si>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</si>
  <si>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</si>
  <si>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</si>
  <si>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</si>
  <si>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</si>
  <si>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</si>
  <si>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</si>
  <si>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</si>
  <si>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</si>
  <si>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</si>
  <si>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</si>
  <si>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</si>
  <si>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in 4 / 6 / 9 oz? (c) How do they tamper-seal glass today: induction, PS liner or shrink band? Then get their bottle + lid cost into Inputs.</t>
  </si>
  <si>
    <t xml:space="preserve">2</t>
  </si>
  <si>
    <t xml:space="preserve">Procurement</t>
  </si>
  <si>
    <t xml:space="preserve">Ask Burch, Fillmore, Richards and Liquid Bottles for the COUNTRY OF ORIGIN of each jar. US-made jars may carry the 50% surtax.</t>
  </si>
  <si>
    <t xml:space="preserve">3</t>
  </si>
  <si>
    <t xml:space="preserve">Owner + broker</t>
  </si>
  <si>
    <t xml:space="preserve">Ask a customs broker to confirm: (a) does the US Surtax Order (2026) cover these jars (tariff item 7010.90)? (b) MFN duty is Free for China-made jars?</t>
  </si>
  <si>
    <t xml:space="preserve">4</t>
  </si>
  <si>
    <t xml:space="preserve">China RFQ to Xuzhou Das, Xuzhou Yanjia, Xuzhou Huiju, Heshun Glass and VANJOIN. Ask for 2,000 each of 120 ml and 180–190 ml (and 250–270 ml as an alternate), regular AND frosted. Ask for: 58/63/70-400 necks; black PP caps with a glass-rated induction or PS22 liner; brim-full capacity; food-contact certificate; FOB price; sample cost; lead time; carton dimensions/weight.</t>
  </si>
  <si>
    <t xml:space="preserve">5</t>
  </si>
  <si>
    <t xml:space="preserve">Freight quotes: two Canadian forwarders for China LCL door-to-door (~2.5 m³, ~800 kg) to your postal code, itemized with minimums. One-pallet LTL quotes from Burch and Richards.</t>
  </si>
  <si>
    <t xml:space="preserve">6</t>
  </si>
  <si>
    <t xml:space="preserve">Local quotes for 2,000 x 6 oz (flex plan) + 63-400 caps, delivered: Burch, Fillmore, Containers &amp; Packaging Supply. Ask each for BRIM-FULL capacity and country of origin. For frosted, a spray-frost quote from Stanpac Ink (1 SKU, 2,000 jars).</t>
  </si>
  <si>
    <t xml:space="preserve">6b</t>
  </si>
  <si>
    <t xml:space="preserve">Ask how long finished capsules can be held in bulk (stability/packaging) while the 2nd launch's China jars arrive (~8–10 weeks after the order).</t>
  </si>
  <si>
    <t xml:space="preserve">7</t>
  </si>
  <si>
    <t xml:space="preserve">Owner + designer</t>
  </si>
  <si>
    <t xml:space="preserve">Order samples (4 / 6 / 9 oz). Do a capsule pour test, including Balance's 30 capsules in the 4 oz, to confirm the half-full look. Compare regular vs frosted in hand.</t>
  </si>
  <si>
    <t xml:space="preserve">8</t>
  </si>
  <si>
    <t xml:space="preserve">Owner</t>
  </si>
  <si>
    <t xml:space="preserve">Decide: regular or frosted, and all-local or split. Use the Split Plan sheet once real quotes are entered on Inputs.</t>
  </si>
  <si>
    <t xml:space="preserve">Data caveats</t>
  </si>
  <si>
    <t xml:space="preserve">• The research environment could not open supplier websites directly (network policy). Prices come from search-engine copies of the product pages and some may be stale. Treat every price as 'to verify' until quoted.</t>
  </si>
  <si>
    <t xml:space="preserve">• Freight, brokerage, frosting and China prices are estimates (labelled on the Inputs sheet). Replace them with real quotes and the whole workbook recalculates.</t>
  </si>
  <si>
    <t xml:space="preserve">• The 50% surtax on US-made glass containers is reported by several law firms and trade sources but the exact tariff item is not yet confirmed. Confirm with a broker.</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</si>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</sst>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quot;($&quot;#,##0.00\);\-"/>
    <numFmt numFmtId="166" formatCode="\$#,##0;&quot;($&quot;#,##0\);\-"/>
    <numFmt numFmtId="167" formatCode="#,##0"/>
    <numFmt numFmtId="168" formatCode="0"/>
    <numFmt numFmtId="169" formatCode="0.00"/>
    <numFmt numFmtId="170" formatCode="0%"/>
    <numFmt numFmtId="171" formatCode="0.0"/>
    <numFmt numFmtId="172" formatCode="0.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0"/>
      <name val="Arial"/>
      <family val="0"/>
      <charset val="1"/>
    </font>
    <font>
      <sz val="10"/>
      <color rgb="FF008000"/>
      <name val="Arial"/>
      <family val="0"/>
      <charset val="1"/>
    </font>
    <font>
      <b val="true"/>
      <sz val="11"/>
      <color rgb="FFFFFFFF"/>
      <name val="Arial"/>
      <family val="0"/>
      <charset val="1"/>
    </font>
    <font>
      <b val="true"/>
      <sz val="10"/>
      <color rgb="FFFFFFFF"/>
      <name val="Arial"/>
      <family val="0"/>
      <charset val="1"/>
    </font>
    <font>
      <sz val="10"/>
      <name val="Arial"/>
      <family val="0"/>
      <charset val="1"/>
    </font>
    <font>
      <sz val="10"/>
      <color rgb="FF0000FF"/>
      <name val="Arial"/>
      <family val="0"/>
      <charset val="1"/>
    </font>
    <font>
      <sz val="10"/>
      <name val="Arial"/>
      <family val="2"/>
    </font>
  </fonts>
  <fills count="8">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3E5D3"/>
        <bgColor rgb="FFFCE4D6"/>
      </patternFill>
    </fill>
    <fill>
      <patternFill patternType="solid">
        <fgColor rgb="FFE2EFDA"/>
        <bgColor rgb="FFF3E5D3"/>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2" fillId="7"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12" fillId="7" borderId="1" xfId="0" applyFont="true" applyBorder="true" applyAlignment="false" applyProtection="false">
      <alignment horizontal="general" vertical="bottom" textRotation="0" wrapText="false" indent="0" shrinkToFit="false"/>
      <protection locked="true" hidden="false"/>
    </xf>
    <xf numFmtId="169" fontId="12" fillId="7" borderId="1" xfId="0" applyFont="true" applyBorder="true" applyAlignment="false" applyProtection="false">
      <alignment horizontal="general" vertical="bottom" textRotation="0" wrapText="false" indent="0" shrinkToFit="false"/>
      <protection locked="true" hidden="false"/>
    </xf>
    <xf numFmtId="165" fontId="12" fillId="7"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2" fillId="7" borderId="1" xfId="0" applyFont="true" applyBorder="true" applyAlignment="false" applyProtection="false">
      <alignment horizontal="general" vertical="bottom" textRotation="0" wrapText="false" indent="0" shrinkToFit="false"/>
      <protection locked="true" hidden="false"/>
    </xf>
    <xf numFmtId="170" fontId="12" fillId="7"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2" fillId="7"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73" fontId="12" fillId="7" borderId="1" xfId="0" applyFont="true" applyBorder="true" applyAlignment="false" applyProtection="false">
      <alignment horizontal="general" vertical="bottom" textRotation="0" wrapText="false" indent="0" shrinkToFit="false"/>
      <protection locked="true" hidden="false"/>
    </xf>
    <xf numFmtId="172" fontId="12" fillId="7"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11" fillId="6"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F8CBAD"/>
        </patternFill>
      </fill>
    </dxf>
    <dxf>
      <fill>
        <patternFill>
          <bgColor rgb="FFE2EFDA"/>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0</v>
      </c>
    </row>
    <row r="2" customFormat="false" ht="15" hidden="false" customHeight="false" outlineLevel="0" collapsed="false">
      <c r="A2" s="2" t="s">
        <v>1</v>
      </c>
    </row>
    <row r="3" customFormat="false" ht="31.5" hidden="false" customHeight="true" outlineLevel="0" collapsed="false">
      <c r="A3" s="3" t="s">
        <v>2</v>
      </c>
      <c r="B3" s="3"/>
      <c r="C3" s="3"/>
      <c r="D3" s="3"/>
      <c r="E3" s="3"/>
      <c r="F3" s="3"/>
      <c r="G3" s="3"/>
      <c r="H3" s="3"/>
      <c r="I3" s="3"/>
    </row>
    <row r="5" customFormat="false" ht="15" hidden="false" customHeight="false" outlineLevel="0" collapsed="false">
      <c r="A5" s="4" t="s">
        <v>3</v>
      </c>
      <c r="D5" s="5" t="n">
        <f aca="false">Inputs!$B$12</f>
        <v>3.44</v>
      </c>
      <c r="E5" s="2" t="s">
        <v>4</v>
      </c>
    </row>
    <row r="7" customFormat="false" ht="15" hidden="false" customHeight="false" outlineLevel="0" collapsed="false">
      <c r="A7" s="6" t="s">
        <v>5</v>
      </c>
      <c r="B7" s="6"/>
      <c r="C7" s="6"/>
      <c r="D7" s="6"/>
      <c r="E7" s="6"/>
      <c r="F7" s="6"/>
      <c r="G7" s="6"/>
      <c r="H7" s="6"/>
      <c r="I7" s="6"/>
    </row>
    <row r="8" customFormat="false" ht="30" hidden="false" customHeight="true" outlineLevel="0" collapsed="false">
      <c r="A8" s="7" t="s">
        <v>6</v>
      </c>
      <c r="B8" s="7" t="s">
        <v>7</v>
      </c>
      <c r="C8" s="7" t="s">
        <v>8</v>
      </c>
      <c r="D8" s="7" t="s">
        <v>9</v>
      </c>
      <c r="E8" s="7" t="s">
        <v>10</v>
      </c>
      <c r="F8" s="7" t="s">
        <v>11</v>
      </c>
      <c r="G8" s="7" t="s">
        <v>12</v>
      </c>
      <c r="H8" s="7" t="s">
        <v>13</v>
      </c>
      <c r="I8" s="7" t="s">
        <v>14</v>
      </c>
    </row>
    <row r="9" customFormat="false" ht="51.75" hidden="false" customHeight="true" outlineLevel="0" collapsed="false">
      <c r="A9" s="8" t="s">
        <v>15</v>
      </c>
      <c r="B9" s="8" t="s">
        <v>16</v>
      </c>
      <c r="C9" s="9" t="s">
        <v>17</v>
      </c>
      <c r="D9" s="10" t="n">
        <f aca="false">'Regular Finish – Top 3'!P10</f>
        <v>1.11600833333333</v>
      </c>
      <c r="E9" s="11" t="n">
        <f aca="false">'Regular Finish – Top 3'!S10</f>
        <v>1.5345125</v>
      </c>
      <c r="F9" s="12" t="n">
        <f aca="false">'Regular Finish – Top 3'!Q10</f>
        <v>6696.05</v>
      </c>
      <c r="G9" s="9" t="s">
        <v>18</v>
      </c>
      <c r="H9" s="9" t="s">
        <v>19</v>
      </c>
      <c r="I9" s="9" t="s">
        <v>20</v>
      </c>
    </row>
    <row r="10" customFormat="false" ht="51.75" hidden="false" customHeight="true" outlineLevel="0" collapsed="false">
      <c r="A10" s="8" t="s">
        <v>21</v>
      </c>
      <c r="B10" s="8" t="s">
        <v>22</v>
      </c>
      <c r="C10" s="9" t="s">
        <v>17</v>
      </c>
      <c r="D10" s="10" t="n">
        <f aca="false">'Regular Finish – Top 3'!P19</f>
        <v>1.23008833333333</v>
      </c>
      <c r="E10" s="11" t="n">
        <f aca="false">'Regular Finish – Top 3'!S19</f>
        <v>1.7056325</v>
      </c>
      <c r="F10" s="12" t="n">
        <f aca="false">'Regular Finish – Top 3'!Q19</f>
        <v>7380.53</v>
      </c>
      <c r="G10" s="9" t="s">
        <v>18</v>
      </c>
      <c r="H10" s="9" t="s">
        <v>23</v>
      </c>
      <c r="I10" s="9" t="s">
        <v>24</v>
      </c>
    </row>
    <row r="11" customFormat="false" ht="51.75" hidden="false" customHeight="true" outlineLevel="0" collapsed="false">
      <c r="A11" s="8" t="s">
        <v>25</v>
      </c>
      <c r="B11" s="8" t="s">
        <v>26</v>
      </c>
      <c r="C11" s="9" t="s">
        <v>27</v>
      </c>
      <c r="D11" s="10" t="n">
        <f aca="false">'Regular Finish – Top 3'!P28</f>
        <v>1.02973333333333</v>
      </c>
      <c r="E11" s="11" t="n">
        <f aca="false">'Regular Finish – Top 3'!S28</f>
        <v>1.02973333333333</v>
      </c>
      <c r="F11" s="12" t="n">
        <f aca="false">'Regular Finish – Top 3'!Q28</f>
        <v>6178.4</v>
      </c>
      <c r="G11" s="9" t="s">
        <v>28</v>
      </c>
      <c r="H11" s="9" t="s">
        <v>29</v>
      </c>
      <c r="I11" s="9" t="s">
        <v>30</v>
      </c>
    </row>
    <row r="13" customFormat="false" ht="15" hidden="false" customHeight="false" outlineLevel="0" collapsed="false">
      <c r="A13" s="6" t="s">
        <v>31</v>
      </c>
      <c r="B13" s="6"/>
      <c r="C13" s="6"/>
      <c r="D13" s="6"/>
      <c r="E13" s="6"/>
      <c r="F13" s="6"/>
      <c r="G13" s="6"/>
      <c r="H13" s="6"/>
      <c r="I13" s="6"/>
    </row>
    <row r="14" customFormat="false" ht="30" hidden="false" customHeight="true" outlineLevel="0" collapsed="false">
      <c r="A14" s="7" t="s">
        <v>6</v>
      </c>
      <c r="B14" s="7" t="s">
        <v>7</v>
      </c>
      <c r="C14" s="7" t="s">
        <v>8</v>
      </c>
      <c r="D14" s="7" t="s">
        <v>9</v>
      </c>
      <c r="E14" s="7" t="s">
        <v>10</v>
      </c>
      <c r="F14" s="7" t="s">
        <v>11</v>
      </c>
      <c r="G14" s="7" t="s">
        <v>12</v>
      </c>
      <c r="H14" s="7" t="s">
        <v>13</v>
      </c>
      <c r="I14" s="7" t="s">
        <v>14</v>
      </c>
    </row>
    <row r="15" customFormat="false" ht="51.75" hidden="false" customHeight="true" outlineLevel="0" collapsed="false">
      <c r="A15" s="8" t="s">
        <v>15</v>
      </c>
      <c r="B15" s="8" t="s">
        <v>32</v>
      </c>
      <c r="C15" s="9" t="s">
        <v>27</v>
      </c>
      <c r="D15" s="10" t="n">
        <f aca="false">'Frosted Finish – Top 3'!P10</f>
        <v>1.12173333333333</v>
      </c>
      <c r="E15" s="11" t="n">
        <f aca="false">'Frosted Finish – Top 3'!S10</f>
        <v>1.12173333333333</v>
      </c>
      <c r="F15" s="12" t="n">
        <f aca="false">'Frosted Finish – Top 3'!Q10</f>
        <v>6730.4</v>
      </c>
      <c r="G15" s="9" t="s">
        <v>28</v>
      </c>
      <c r="H15" s="9" t="s">
        <v>33</v>
      </c>
      <c r="I15" s="9" t="s">
        <v>34</v>
      </c>
    </row>
    <row r="16" customFormat="false" ht="51.75" hidden="false" customHeight="true" outlineLevel="0" collapsed="false">
      <c r="A16" s="8" t="s">
        <v>21</v>
      </c>
      <c r="B16" s="8" t="s">
        <v>35</v>
      </c>
      <c r="C16" s="9" t="s">
        <v>17</v>
      </c>
      <c r="D16" s="10" t="n">
        <f aca="false">'Frosted Finish – Top 3'!P19</f>
        <v>1.94100833333333</v>
      </c>
      <c r="E16" s="11" t="n">
        <f aca="false">'Frosted Finish – Top 3'!S19</f>
        <v>2.3595125</v>
      </c>
      <c r="F16" s="12" t="n">
        <f aca="false">'Frosted Finish – Top 3'!Q19</f>
        <v>11646.05</v>
      </c>
      <c r="G16" s="9" t="s">
        <v>36</v>
      </c>
      <c r="H16" s="9" t="s">
        <v>37</v>
      </c>
      <c r="I16" s="9" t="s">
        <v>38</v>
      </c>
    </row>
    <row r="17" customFormat="false" ht="51.75" hidden="false" customHeight="true" outlineLevel="0" collapsed="false">
      <c r="A17" s="8" t="s">
        <v>25</v>
      </c>
      <c r="B17" s="8" t="s">
        <v>39</v>
      </c>
      <c r="C17" s="9" t="s">
        <v>17</v>
      </c>
      <c r="D17" s="10" t="n">
        <f aca="false">'Frosted Finish – Top 3'!P28</f>
        <v>2.05508833333333</v>
      </c>
      <c r="E17" s="11" t="n">
        <f aca="false">'Frosted Finish – Top 3'!S28</f>
        <v>2.5306325</v>
      </c>
      <c r="F17" s="12" t="n">
        <f aca="false">'Frosted Finish – Top 3'!Q28</f>
        <v>12330.53</v>
      </c>
      <c r="G17" s="9" t="s">
        <v>36</v>
      </c>
      <c r="H17" s="9" t="s">
        <v>40</v>
      </c>
      <c r="I17" s="9" t="s">
        <v>41</v>
      </c>
    </row>
    <row r="19" customFormat="false" ht="15" hidden="false" customHeight="false" outlineLevel="0" collapsed="false">
      <c r="A19" s="6" t="s">
        <v>42</v>
      </c>
      <c r="B19" s="6"/>
      <c r="C19" s="6"/>
      <c r="D19" s="6"/>
      <c r="E19" s="6"/>
      <c r="F19" s="6"/>
      <c r="G19" s="6"/>
      <c r="H19" s="6"/>
      <c r="I19" s="6"/>
    </row>
    <row r="20" customFormat="false" ht="23.85" hidden="false" customHeight="false" outlineLevel="0" collapsed="false">
      <c r="A20" s="7" t="s">
        <v>43</v>
      </c>
      <c r="B20" s="7" t="s">
        <v>44</v>
      </c>
      <c r="C20" s="7"/>
      <c r="D20" s="7" t="s">
        <v>45</v>
      </c>
      <c r="E20" s="7" t="s">
        <v>46</v>
      </c>
      <c r="F20" s="7" t="s">
        <v>47</v>
      </c>
      <c r="G20" s="7" t="s">
        <v>48</v>
      </c>
    </row>
    <row r="21" customFormat="false" ht="15" hidden="false" customHeight="false" outlineLevel="0" collapsed="false">
      <c r="A21" s="13" t="s">
        <v>49</v>
      </c>
      <c r="B21" s="14" t="str">
        <f aca="false">'Split Plan – Local vs China'!B6</f>
        <v>Regular – all local (Burch; 90ct jar size guessed now)</v>
      </c>
      <c r="C21" s="14"/>
      <c r="D21" s="15" t="n">
        <f aca="false">'Split Plan – Local vs China'!C6</f>
        <v>6696.05</v>
      </c>
      <c r="E21" s="16" t="n">
        <f aca="false">'Split Plan – Local vs China'!E6</f>
        <v>9207.075</v>
      </c>
      <c r="F21" s="16" t="n">
        <f aca="false">'Split Plan – Local vs China'!D6</f>
        <v>0</v>
      </c>
      <c r="G21" s="16" t="n">
        <f aca="false">'Split Plan – Local vs China'!F6</f>
        <v>0</v>
      </c>
    </row>
    <row r="22" customFormat="false" ht="15" hidden="false" customHeight="false" outlineLevel="0" collapsed="false">
      <c r="A22" s="17" t="s">
        <v>50</v>
      </c>
      <c r="B22" s="18" t="str">
        <f aca="false">'Split Plan – Local vs China'!B7</f>
        <v>Regular – FLEX: 6 oz local; 90ct is size 00 → 60ct launches</v>
      </c>
      <c r="C22" s="18"/>
      <c r="D22" s="19" t="n">
        <f aca="false">'Split Plan – Local vs China'!C7</f>
        <v>7090.7</v>
      </c>
      <c r="E22" s="19" t="n">
        <f aca="false">'Split Plan – Local vs China'!E7</f>
        <v>7940.55</v>
      </c>
      <c r="F22" s="19" t="n">
        <f aca="false">'Split Plan – Local vs China'!D7</f>
        <v>394.650000000001</v>
      </c>
      <c r="G22" s="19" t="n">
        <f aca="false">'Split Plan – Local vs China'!F7</f>
        <v>-1266.525</v>
      </c>
    </row>
    <row r="23" customFormat="false" ht="15" hidden="false" customHeight="false" outlineLevel="0" collapsed="false">
      <c r="A23" s="17" t="s">
        <v>51</v>
      </c>
      <c r="B23" s="18" t="str">
        <f aca="false">'Split Plan – Local vs China'!B8</f>
        <v>Regular – FLEX: 6 oz local; 90ct is size 0 → 90ct launches</v>
      </c>
      <c r="C23" s="18"/>
      <c r="D23" s="19" t="n">
        <f aca="false">'Split Plan – Local vs China'!C8</f>
        <v>6935.5</v>
      </c>
      <c r="E23" s="19" t="n">
        <f aca="false">'Split Plan – Local vs China'!E8</f>
        <v>7785.35</v>
      </c>
      <c r="F23" s="19" t="n">
        <f aca="false">'Split Plan – Local vs China'!D8</f>
        <v>239.450000000001</v>
      </c>
      <c r="G23" s="19" t="n">
        <f aca="false">'Split Plan – Local vs China'!F8</f>
        <v>-1421.725</v>
      </c>
    </row>
    <row r="24" customFormat="false" ht="15" hidden="false" customHeight="false" outlineLevel="0" collapsed="false">
      <c r="A24" s="13" t="s">
        <v>52</v>
      </c>
      <c r="B24" s="14" t="str">
        <f aca="false">'Split Plan – Local vs China'!B9</f>
        <v>Regular – 90ct local (Burch 9 oz), rest China</v>
      </c>
      <c r="C24" s="14"/>
      <c r="D24" s="15" t="n">
        <f aca="false">'Split Plan – Local vs China'!C9</f>
        <v>6855</v>
      </c>
      <c r="E24" s="16" t="n">
        <f aca="false">'Split Plan – Local vs China'!E9</f>
        <v>7664.6</v>
      </c>
      <c r="F24" s="16" t="n">
        <f aca="false">'Split Plan – Local vs China'!D9</f>
        <v>158.950000000001</v>
      </c>
      <c r="G24" s="16" t="n">
        <f aca="false">'Split Plan – Local vs China'!F9</f>
        <v>-1542.475</v>
      </c>
    </row>
    <row r="25" customFormat="false" ht="15" hidden="false" customHeight="false" outlineLevel="0" collapsed="false">
      <c r="A25" s="13" t="s">
        <v>53</v>
      </c>
      <c r="B25" s="14" t="str">
        <f aca="false">'Split Plan – Local vs China'!B10</f>
        <v>Regular – 90ct local (Richards, Canada), rest China</v>
      </c>
      <c r="C25" s="14"/>
      <c r="D25" s="15" t="n">
        <f aca="false">'Split Plan – Local vs China'!C10</f>
        <v>7288.8</v>
      </c>
      <c r="E25" s="16" t="n">
        <f aca="false">'Split Plan – Local vs China'!E10</f>
        <v>7288.8</v>
      </c>
      <c r="F25" s="16" t="n">
        <f aca="false">'Split Plan – Local vs China'!D10</f>
        <v>592.750000000001</v>
      </c>
      <c r="G25" s="16" t="n">
        <f aca="false">'Split Plan – Local vs China'!F10</f>
        <v>-1918.275</v>
      </c>
    </row>
    <row r="26" customFormat="false" ht="15" hidden="false" customHeight="false" outlineLevel="0" collapsed="false">
      <c r="A26" s="13" t="s">
        <v>54</v>
      </c>
      <c r="B26" s="14" t="str">
        <f aca="false">'Split Plan – Local vs China'!B12</f>
        <v>Frosted – all local (Burch + spray frost)</v>
      </c>
      <c r="C26" s="14"/>
      <c r="D26" s="15" t="n">
        <f aca="false">'Split Plan – Local vs China'!C12</f>
        <v>11646.05</v>
      </c>
      <c r="E26" s="16" t="n">
        <f aca="false">'Split Plan – Local vs China'!E12</f>
        <v>14157.075</v>
      </c>
      <c r="F26" s="16" t="n">
        <f aca="false">'Split Plan – Local vs China'!D12</f>
        <v>0</v>
      </c>
      <c r="G26" s="16" t="n">
        <f aca="false">'Split Plan – Local vs China'!F12</f>
        <v>0</v>
      </c>
    </row>
    <row r="27" customFormat="false" ht="15" hidden="false" customHeight="false" outlineLevel="0" collapsed="false">
      <c r="A27" s="17" t="s">
        <v>55</v>
      </c>
      <c r="B27" s="18" t="str">
        <f aca="false">'Split Plan – Local vs China'!B13</f>
        <v>Frosted – FLEX: 6 oz local; 90ct is size 00 → 60ct launches</v>
      </c>
      <c r="C27" s="18"/>
      <c r="D27" s="19" t="n">
        <f aca="false">'Split Plan – Local vs China'!C13</f>
        <v>9271.9</v>
      </c>
      <c r="E27" s="19" t="n">
        <f aca="false">'Split Plan – Local vs China'!E13</f>
        <v>10121.75</v>
      </c>
      <c r="F27" s="19" t="n">
        <f aca="false">'Split Plan – Local vs China'!D13</f>
        <v>-2374.15</v>
      </c>
      <c r="G27" s="19" t="n">
        <f aca="false">'Split Plan – Local vs China'!F13</f>
        <v>-4035.325</v>
      </c>
    </row>
    <row r="28" customFormat="false" ht="15" hidden="false" customHeight="false" outlineLevel="0" collapsed="false">
      <c r="A28" s="17" t="s">
        <v>56</v>
      </c>
      <c r="B28" s="18" t="str">
        <f aca="false">'Split Plan – Local vs China'!B14</f>
        <v>Frosted – FLEX: 6 oz local; 90ct is size 0 → 90ct launches</v>
      </c>
      <c r="C28" s="18"/>
      <c r="D28" s="19" t="n">
        <f aca="false">'Split Plan – Local vs China'!C14</f>
        <v>9171.9</v>
      </c>
      <c r="E28" s="19" t="n">
        <f aca="false">'Split Plan – Local vs China'!E14</f>
        <v>10021.75</v>
      </c>
      <c r="F28" s="19" t="n">
        <f aca="false">'Split Plan – Local vs China'!D14</f>
        <v>-2474.15</v>
      </c>
      <c r="G28" s="19" t="n">
        <f aca="false">'Split Plan – Local vs China'!F14</f>
        <v>-4135.325</v>
      </c>
    </row>
    <row r="29" customFormat="false" ht="15" hidden="false" customHeight="false" outlineLevel="0" collapsed="false">
      <c r="A29" s="13" t="s">
        <v>57</v>
      </c>
      <c r="B29" s="14" t="str">
        <f aca="false">'Split Plan – Local vs China'!B15</f>
        <v>Frosted – 90ct local (Burch 9 oz + spray frost), rest China</v>
      </c>
      <c r="C29" s="14"/>
      <c r="D29" s="15" t="n">
        <f aca="false">'Split Plan – Local vs China'!C15</f>
        <v>9091.4</v>
      </c>
      <c r="E29" s="16" t="n">
        <f aca="false">'Split Plan – Local vs China'!E15</f>
        <v>9901</v>
      </c>
      <c r="F29" s="16" t="n">
        <f aca="false">'Split Plan – Local vs China'!D15</f>
        <v>-2554.65</v>
      </c>
      <c r="G29" s="16" t="n">
        <f aca="false">'Split Plan – Local vs China'!F15</f>
        <v>-4256.075</v>
      </c>
    </row>
    <row r="30" customFormat="false" ht="15" hidden="false" customHeight="false" outlineLevel="0" collapsed="false">
      <c r="A30" s="13" t="s">
        <v>58</v>
      </c>
      <c r="B30" s="14" t="str">
        <f aca="false">'Split Plan – Local vs China'!B16</f>
        <v>Frosted – 90ct local (Liquid Bottles stock), rest China</v>
      </c>
      <c r="C30" s="14"/>
      <c r="D30" s="15" t="n">
        <f aca="false">'Split Plan – Local vs China'!C16</f>
        <v>10369.4</v>
      </c>
      <c r="E30" s="16" t="n">
        <f aca="false">'Split Plan – Local vs China'!E16</f>
        <v>12743</v>
      </c>
      <c r="F30" s="16" t="n">
        <f aca="false">'Split Plan – Local vs China'!D16</f>
        <v>-1276.65</v>
      </c>
      <c r="G30" s="16" t="n">
        <f aca="false">'Split Plan – Local vs China'!F16</f>
        <v>-1414.075</v>
      </c>
    </row>
    <row r="32" customFormat="false" ht="15" hidden="false" customHeight="false" outlineLevel="0" collapsed="false">
      <c r="A32" s="4" t="s">
        <v>59</v>
      </c>
    </row>
    <row r="33" customFormat="false" ht="15" hidden="false" customHeight="false" outlineLevel="0" collapsed="false">
      <c r="A33" s="4" t="s">
        <v>60</v>
      </c>
    </row>
    <row r="34" customFormat="false" ht="15" hidden="false" customHeight="false" outlineLevel="0" collapsed="false">
      <c r="A34" s="20" t="s">
        <v>61</v>
      </c>
    </row>
    <row r="35" customFormat="false" ht="15" hidden="false" customHeight="false" outlineLevel="0" collapsed="false">
      <c r="A35" s="20" t="s">
        <v>62</v>
      </c>
    </row>
    <row r="36" customFormat="false" ht="15" hidden="false" customHeight="false" outlineLevel="0" collapsed="false">
      <c r="A36" s="20" t="s">
        <v>63</v>
      </c>
    </row>
    <row r="37" customFormat="false" ht="15" hidden="false" customHeight="false" outlineLevel="0" collapsed="false">
      <c r="A37" s="20" t="str">
        <f aca="false">"  Cost (regular): ~CAD "&amp;TEXT('Split Plan – Local vs China'!C8,"#,##0")&amp;"–"&amp;TEXT('Split Plan – Local vs China'!C7,"#,##0")&amp;" vs ~CAD "&amp;TEXT('Split Plan – Local vs China'!C6,"#,##0")&amp;" all-local. Close to break-even, but all-local forces you to guess the 90ct jar now."</f>
        <v>  Cost (regular): ~CAD 6,936–7,091 vs ~CAD 6,696 all-local. Close to break-even, but all-local forces you to guess the 90ct jar now.</v>
      </c>
    </row>
    <row r="38" customFormat="false" ht="15" hidden="false" customHeight="false" outlineLevel="0" collapsed="false">
      <c r="A38" s="20" t="str">
        <f aca="false">"  Cost (frosted): ~CAD "&amp;TEXT('Split Plan – Local vs China'!C14,"#,##0")&amp;"–"&amp;TEXT('Split Plan – Local vs China'!C13,"#,##0")&amp;" vs ~CAD "&amp;TEXT('Split Plan – Local vs China'!C12,"#,##0")&amp;" all-local – a clear saving."</f>
        <v>  Cost (frosted): ~CAD 9,172–9,272 vs ~CAD 11,646 all-local – a clear saving.</v>
      </c>
    </row>
    <row r="39" customFormat="false" ht="15" hidden="false" customHeight="false" outlineLevel="0" collapsed="false">
      <c r="A39" s="20" t="str">
        <f aca="false">"  Surtax exposure is limited to the 2,000 local jars: worst case +CAD "&amp;TEXT('Split Plan – Local vs China'!E7-'Split Plan – Local vs China'!C7,"#,##0")&amp;" (regular) if Burch's 6 oz is US-made. China jars are duty-free and surtax-free."</f>
        <v>  Surtax exposure is limited to the 2,000 local jars: worst case +CAD 850 (regular) if Burch's 6 oz is US-made. China jars are duty-free and surtax-free.</v>
      </c>
    </row>
    <row r="40" customFormat="false" ht="15" hidden="false" customHeight="false" outlineLevel="0" collapsed="false">
      <c r="A40" s="4" t="s">
        <v>64</v>
      </c>
    </row>
    <row r="41" customFormat="false" ht="15" hidden="false" customHeight="false" outlineLevel="0" collapsed="false">
      <c r="A41" s="4" t="s">
        <v>65</v>
      </c>
    </row>
    <row r="42" customFormat="false" ht="15" hidden="false" customHeight="false" outlineLevel="0" collapsed="false">
      <c r="A42" s="4" t="s">
        <v>66</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67</v>
      </c>
    </row>
    <row r="2" customFormat="false" ht="15" hidden="false" customHeight="false" outlineLevel="0" collapsed="false">
      <c r="A2" s="2" t="s">
        <v>68</v>
      </c>
    </row>
    <row r="4" customFormat="false" ht="15" hidden="false" customHeight="false" outlineLevel="0" collapsed="false">
      <c r="A4" s="4" t="s">
        <v>69</v>
      </c>
    </row>
    <row r="5" customFormat="false" ht="15" hidden="false" customHeight="false" outlineLevel="0" collapsed="false">
      <c r="A5" s="20" t="s">
        <v>70</v>
      </c>
      <c r="B5" s="21" t="n">
        <v>2000</v>
      </c>
      <c r="C5" s="22" t="s">
        <v>71</v>
      </c>
    </row>
    <row r="6" customFormat="false" ht="15" hidden="false" customHeight="false" outlineLevel="0" collapsed="false">
      <c r="A6" s="20" t="s">
        <v>72</v>
      </c>
      <c r="B6" s="23" t="n">
        <v>3</v>
      </c>
      <c r="C6" s="22" t="s">
        <v>73</v>
      </c>
    </row>
    <row r="7" customFormat="false" ht="15" hidden="false" customHeight="false" outlineLevel="0" collapsed="false">
      <c r="A7" s="20" t="s">
        <v>74</v>
      </c>
      <c r="B7" s="24" t="n">
        <v>1.38</v>
      </c>
      <c r="C7" s="22" t="s">
        <v>75</v>
      </c>
    </row>
    <row r="8" customFormat="false" ht="15" hidden="false" customHeight="false" outlineLevel="0" collapsed="false">
      <c r="A8" s="20" t="s">
        <v>76</v>
      </c>
      <c r="B8" s="25" t="n">
        <v>3.74</v>
      </c>
      <c r="C8" s="22" t="s">
        <v>77</v>
      </c>
    </row>
    <row r="9" customFormat="false" ht="15" hidden="false" customHeight="false" outlineLevel="0" collapsed="false">
      <c r="A9" s="20" t="s">
        <v>78</v>
      </c>
      <c r="B9" s="25" t="n">
        <v>0.3</v>
      </c>
      <c r="C9" s="22" t="s">
        <v>79</v>
      </c>
    </row>
    <row r="10" customFormat="false" ht="15" hidden="false" customHeight="false" outlineLevel="0" collapsed="false">
      <c r="A10" s="20" t="s">
        <v>80</v>
      </c>
      <c r="B10" s="26" t="n">
        <f aca="false">$B$8-$B$9</f>
        <v>3.44</v>
      </c>
      <c r="C10" s="22" t="s">
        <v>81</v>
      </c>
    </row>
    <row r="11" customFormat="false" ht="15" hidden="false" customHeight="false" outlineLevel="0" collapsed="false">
      <c r="A11" s="20" t="s">
        <v>82</v>
      </c>
      <c r="B11" s="25"/>
      <c r="C11" s="22" t="s">
        <v>83</v>
      </c>
    </row>
    <row r="12" customFormat="false" ht="15" hidden="false" customHeight="false" outlineLevel="0" collapsed="false">
      <c r="A12" s="20" t="s">
        <v>84</v>
      </c>
      <c r="B12" s="26" t="n">
        <f aca="false">IF($B$11="",$B$10,$B$11)</f>
        <v>3.44</v>
      </c>
      <c r="C12" s="22" t="s">
        <v>85</v>
      </c>
    </row>
    <row r="14" customFormat="false" ht="15" hidden="false" customHeight="false" outlineLevel="0" collapsed="false">
      <c r="A14" s="4" t="s">
        <v>86</v>
      </c>
    </row>
    <row r="15" customFormat="false" ht="15" hidden="false" customHeight="false" outlineLevel="0" collapsed="false">
      <c r="A15" s="20" t="s">
        <v>87</v>
      </c>
      <c r="B15" s="27" t="n">
        <v>1050</v>
      </c>
      <c r="C15" s="22" t="s">
        <v>88</v>
      </c>
    </row>
    <row r="16" customFormat="false" ht="15" hidden="false" customHeight="false" outlineLevel="0" collapsed="false">
      <c r="A16" s="20" t="s">
        <v>89</v>
      </c>
      <c r="B16" s="27" t="n">
        <v>225</v>
      </c>
      <c r="C16" s="22" t="s">
        <v>90</v>
      </c>
    </row>
    <row r="17" customFormat="false" ht="15" hidden="false" customHeight="false" outlineLevel="0" collapsed="false">
      <c r="A17" s="20" t="s">
        <v>91</v>
      </c>
      <c r="B17" s="27" t="n">
        <v>400</v>
      </c>
      <c r="C17" s="22" t="s">
        <v>92</v>
      </c>
    </row>
    <row r="18" customFormat="false" ht="15" hidden="false" customHeight="false" outlineLevel="0" collapsed="false">
      <c r="A18" s="20" t="s">
        <v>93</v>
      </c>
      <c r="B18" s="27" t="n">
        <v>1800</v>
      </c>
      <c r="C18" s="22" t="s">
        <v>94</v>
      </c>
    </row>
    <row r="20" customFormat="false" ht="15" hidden="false" customHeight="false" outlineLevel="0" collapsed="false">
      <c r="A20" s="4" t="s">
        <v>95</v>
      </c>
    </row>
    <row r="21" customFormat="false" ht="15" hidden="false" customHeight="false" outlineLevel="0" collapsed="false">
      <c r="A21" s="20" t="s">
        <v>96</v>
      </c>
      <c r="B21" s="27" t="n">
        <v>400</v>
      </c>
      <c r="C21" s="22" t="s">
        <v>97</v>
      </c>
    </row>
    <row r="22" customFormat="false" ht="15" hidden="false" customHeight="false" outlineLevel="0" collapsed="false">
      <c r="A22" s="20" t="s">
        <v>98</v>
      </c>
      <c r="B22" s="27" t="n">
        <v>175</v>
      </c>
      <c r="C22" s="22" t="s">
        <v>99</v>
      </c>
    </row>
    <row r="23" customFormat="false" ht="15" hidden="false" customHeight="false" outlineLevel="0" collapsed="false">
      <c r="A23" s="20" t="s">
        <v>100</v>
      </c>
      <c r="B23" s="27" t="n">
        <v>300</v>
      </c>
      <c r="C23" s="22" t="s">
        <v>101</v>
      </c>
    </row>
    <row r="24" customFormat="false" ht="22.35" hidden="false" customHeight="false" outlineLevel="0" collapsed="false">
      <c r="A24" s="20" t="s">
        <v>102</v>
      </c>
      <c r="B24" s="27" t="n">
        <v>1500</v>
      </c>
      <c r="C24" s="22" t="s">
        <v>103</v>
      </c>
    </row>
    <row r="25" customFormat="false" ht="15" hidden="false" customHeight="false" outlineLevel="0" collapsed="false">
      <c r="A25" s="20" t="s">
        <v>104</v>
      </c>
      <c r="B25" s="27" t="n">
        <v>1400</v>
      </c>
      <c r="C25" s="22" t="s">
        <v>105</v>
      </c>
    </row>
    <row r="26" customFormat="false" ht="15" hidden="false" customHeight="false" outlineLevel="0" collapsed="false">
      <c r="A26" s="20" t="s">
        <v>106</v>
      </c>
      <c r="B26" s="27" t="n">
        <v>680</v>
      </c>
      <c r="C26" s="22" t="s">
        <v>107</v>
      </c>
    </row>
    <row r="28" customFormat="false" ht="15" hidden="false" customHeight="false" outlineLevel="0" collapsed="false">
      <c r="A28" s="4" t="s">
        <v>108</v>
      </c>
    </row>
    <row r="29" customFormat="false" ht="15" hidden="false" customHeight="false" outlineLevel="0" collapsed="false">
      <c r="A29" s="20" t="s">
        <v>109</v>
      </c>
      <c r="B29" s="28" t="n">
        <v>0</v>
      </c>
      <c r="C29" s="22" t="s">
        <v>110</v>
      </c>
    </row>
    <row r="30" customFormat="false" ht="32.8" hidden="false" customHeight="false" outlineLevel="0" collapsed="false">
      <c r="A30" s="20" t="s">
        <v>111</v>
      </c>
      <c r="B30" s="28" t="n">
        <v>0.5</v>
      </c>
      <c r="C30" s="22" t="s">
        <v>112</v>
      </c>
    </row>
    <row r="32" customFormat="false" ht="15" hidden="false" customHeight="false" outlineLevel="0" collapsed="false">
      <c r="A32" s="4" t="s">
        <v>113</v>
      </c>
    </row>
    <row r="33" customFormat="false" ht="15" hidden="false" customHeight="false" outlineLevel="0" collapsed="false">
      <c r="A33" s="20" t="s">
        <v>114</v>
      </c>
      <c r="B33" s="25" t="n">
        <v>0.45</v>
      </c>
      <c r="C33" s="22" t="s">
        <v>115</v>
      </c>
    </row>
    <row r="34" customFormat="false" ht="15" hidden="false" customHeight="false" outlineLevel="0" collapsed="false">
      <c r="A34" s="20" t="s">
        <v>116</v>
      </c>
      <c r="B34" s="27" t="n">
        <v>650</v>
      </c>
      <c r="C34" s="22" t="s">
        <v>117</v>
      </c>
    </row>
    <row r="35" customFormat="false" ht="15" hidden="false" customHeight="false" outlineLevel="0" collapsed="false">
      <c r="A35" s="20" t="s">
        <v>118</v>
      </c>
      <c r="B35" s="27" t="n">
        <v>300</v>
      </c>
      <c r="C35" s="22" t="s">
        <v>107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119</v>
      </c>
    </row>
    <row r="2" customFormat="false" ht="15" hidden="false" customHeight="false" outlineLevel="0" collapsed="false">
      <c r="A2" s="2" t="s">
        <v>120</v>
      </c>
    </row>
    <row r="4" customFormat="false" ht="15" hidden="false" customHeight="false" outlineLevel="0" collapsed="false">
      <c r="A4" s="4" t="s">
        <v>121</v>
      </c>
    </row>
    <row r="5" customFormat="false" ht="42" hidden="false" customHeight="true" outlineLevel="0" collapsed="false">
      <c r="A5" s="29" t="s">
        <v>122</v>
      </c>
      <c r="B5" s="29" t="s">
        <v>123</v>
      </c>
      <c r="C5" s="29" t="s">
        <v>124</v>
      </c>
      <c r="D5" s="29" t="s">
        <v>125</v>
      </c>
      <c r="E5" s="29" t="s">
        <v>126</v>
      </c>
      <c r="F5" s="29" t="s">
        <v>127</v>
      </c>
    </row>
    <row r="6" customFormat="false" ht="15" hidden="false" customHeight="false" outlineLevel="0" collapsed="false">
      <c r="A6" s="13" t="s">
        <v>128</v>
      </c>
      <c r="B6" s="30" t="n">
        <v>21.7</v>
      </c>
      <c r="C6" s="24" t="n">
        <v>7.65</v>
      </c>
      <c r="D6" s="31" t="n">
        <f aca="false">(PI()*(C6/2)^2*(B6-C6)+4/3*PI()*(C6/2)^3)/1000</f>
        <v>0.88020033593373</v>
      </c>
      <c r="E6" s="32" t="n">
        <f aca="false">D6/$B$10</f>
        <v>1.60036424715224</v>
      </c>
      <c r="F6" s="32" t="n">
        <f aca="false">E6*(1+$B$11)</f>
        <v>1.84041888422507</v>
      </c>
    </row>
    <row r="7" customFormat="false" ht="15" hidden="false" customHeight="false" outlineLevel="0" collapsed="false">
      <c r="A7" s="13" t="s">
        <v>129</v>
      </c>
      <c r="B7" s="30" t="n">
        <v>23.3</v>
      </c>
      <c r="C7" s="24" t="n">
        <v>8.53</v>
      </c>
      <c r="D7" s="31" t="n">
        <f aca="false">(PI()*(C7/2)^2*(B7-C7)+4/3*PI()*(C7/2)^3)/1000</f>
        <v>1.16902234447664</v>
      </c>
      <c r="E7" s="32" t="n">
        <f aca="false">D7/$B$10</f>
        <v>2.1254951717757</v>
      </c>
      <c r="F7" s="32" t="n">
        <f aca="false">E7*(1+$B$11)</f>
        <v>2.44431944754206</v>
      </c>
    </row>
    <row r="9" customFormat="false" ht="15" hidden="false" customHeight="false" outlineLevel="0" collapsed="false">
      <c r="A9" s="4" t="s">
        <v>130</v>
      </c>
    </row>
    <row r="10" customFormat="false" ht="15" hidden="false" customHeight="false" outlineLevel="0" collapsed="false">
      <c r="A10" s="20" t="s">
        <v>131</v>
      </c>
      <c r="B10" s="24" t="n">
        <v>0.55</v>
      </c>
      <c r="C10" s="2" t="s">
        <v>132</v>
      </c>
    </row>
    <row r="11" customFormat="false" ht="15" hidden="false" customHeight="false" outlineLevel="0" collapsed="false">
      <c r="A11" s="20" t="s">
        <v>133</v>
      </c>
      <c r="B11" s="28" t="n">
        <v>0.15</v>
      </c>
      <c r="C11" s="2" t="s">
        <v>134</v>
      </c>
    </row>
    <row r="12" customFormat="false" ht="15" hidden="false" customHeight="false" outlineLevel="0" collapsed="false">
      <c r="A12" s="20" t="s">
        <v>135</v>
      </c>
      <c r="B12" s="28" t="n">
        <v>0.5</v>
      </c>
      <c r="C12" s="2" t="s">
        <v>136</v>
      </c>
    </row>
    <row r="13" customFormat="false" ht="15" hidden="false" customHeight="false" outlineLevel="0" collapsed="false">
      <c r="A13" s="20" t="s">
        <v>137</v>
      </c>
      <c r="B13" s="28" t="n">
        <v>0.9</v>
      </c>
    </row>
    <row r="15" customFormat="false" ht="15" hidden="false" customHeight="false" outlineLevel="0" collapsed="false">
      <c r="A15" s="4" t="s">
        <v>138</v>
      </c>
    </row>
    <row r="16" customFormat="false" ht="15" hidden="false" customHeight="false" outlineLevel="0" collapsed="false">
      <c r="A16" s="33" t="s">
        <v>139</v>
      </c>
      <c r="B16" s="33" t="s">
        <v>140</v>
      </c>
      <c r="C16" s="33" t="s">
        <v>141</v>
      </c>
    </row>
    <row r="17" customFormat="false" ht="15" hidden="false" customHeight="false" outlineLevel="0" collapsed="false">
      <c r="A17" s="13" t="s">
        <v>142</v>
      </c>
      <c r="B17" s="23" t="n">
        <v>118</v>
      </c>
      <c r="C17" s="34" t="s">
        <v>143</v>
      </c>
      <c r="D17" s="2" t="s">
        <v>144</v>
      </c>
    </row>
    <row r="18" customFormat="false" ht="15" hidden="false" customHeight="false" outlineLevel="0" collapsed="false">
      <c r="A18" s="13" t="s">
        <v>145</v>
      </c>
      <c r="B18" s="23" t="n">
        <v>177</v>
      </c>
      <c r="C18" s="34" t="s">
        <v>146</v>
      </c>
    </row>
    <row r="19" customFormat="false" ht="15" hidden="false" customHeight="false" outlineLevel="0" collapsed="false">
      <c r="A19" s="13" t="s">
        <v>147</v>
      </c>
      <c r="B19" s="23" t="n">
        <v>190</v>
      </c>
      <c r="C19" s="34" t="s">
        <v>148</v>
      </c>
    </row>
    <row r="20" customFormat="false" ht="15" hidden="false" customHeight="false" outlineLevel="0" collapsed="false">
      <c r="A20" s="13" t="s">
        <v>149</v>
      </c>
      <c r="B20" s="23" t="n">
        <v>237</v>
      </c>
      <c r="C20" s="34" t="s">
        <v>150</v>
      </c>
    </row>
    <row r="21" customFormat="false" ht="15" hidden="false" customHeight="false" outlineLevel="0" collapsed="false">
      <c r="A21" s="13" t="s">
        <v>151</v>
      </c>
      <c r="B21" s="23" t="n">
        <v>250</v>
      </c>
      <c r="C21" s="34" t="s">
        <v>152</v>
      </c>
    </row>
    <row r="22" customFormat="false" ht="15" hidden="false" customHeight="false" outlineLevel="0" collapsed="false">
      <c r="A22" s="13" t="s">
        <v>153</v>
      </c>
      <c r="B22" s="23" t="n">
        <v>266</v>
      </c>
      <c r="C22" s="34" t="s">
        <v>150</v>
      </c>
    </row>
    <row r="24" customFormat="false" ht="15" hidden="false" customHeight="false" outlineLevel="0" collapsed="false">
      <c r="A24" s="4" t="s">
        <v>154</v>
      </c>
    </row>
    <row r="25" customFormat="false" ht="30" hidden="false" customHeight="true" outlineLevel="0" collapsed="false">
      <c r="A25" s="29" t="s">
        <v>155</v>
      </c>
      <c r="B25" s="29" t="s">
        <v>122</v>
      </c>
      <c r="C25" s="29" t="s">
        <v>156</v>
      </c>
      <c r="D25" s="29" t="s">
        <v>157</v>
      </c>
      <c r="E25" s="29" t="s">
        <v>158</v>
      </c>
      <c r="F25" s="29" t="s">
        <v>142</v>
      </c>
      <c r="G25" s="29" t="s">
        <v>145</v>
      </c>
      <c r="H25" s="29" t="s">
        <v>147</v>
      </c>
      <c r="I25" s="29" t="s">
        <v>149</v>
      </c>
      <c r="J25" s="29" t="s">
        <v>151</v>
      </c>
      <c r="K25" s="29" t="s">
        <v>153</v>
      </c>
    </row>
    <row r="26" customFormat="false" ht="15" hidden="false" customHeight="false" outlineLevel="0" collapsed="false">
      <c r="A26" s="34" t="s">
        <v>159</v>
      </c>
      <c r="B26" s="35" t="s">
        <v>128</v>
      </c>
      <c r="C26" s="23" t="n">
        <v>30</v>
      </c>
      <c r="D26" s="36" t="n">
        <f aca="false">C26*INDEX($E$6:$E$7,MATCH(B26,$A$6:$A$7,0))</f>
        <v>48.0109274145671</v>
      </c>
      <c r="E26" s="36" t="n">
        <f aca="false">C26*INDEX($F$6:$F$7,MATCH(B26,$A$6:$A$7,0))</f>
        <v>55.2125665267522</v>
      </c>
      <c r="F26" s="37" t="n">
        <f aca="false">$D26/$B$17</f>
        <v>0.406872266225145</v>
      </c>
      <c r="G26" s="37" t="n">
        <f aca="false">$D26/$B$18</f>
        <v>0.27124817748343</v>
      </c>
      <c r="H26" s="37" t="n">
        <f aca="false">$D26/$B$19</f>
        <v>0.252689091655616</v>
      </c>
      <c r="I26" s="37" t="n">
        <f aca="false">$D26/$B$20</f>
        <v>0.202577752804081</v>
      </c>
      <c r="J26" s="37" t="n">
        <f aca="false">$D26/$B$21</f>
        <v>0.192043709658268</v>
      </c>
      <c r="K26" s="37" t="n">
        <f aca="false">$D26/$B$22</f>
        <v>0.18049220832544</v>
      </c>
    </row>
    <row r="27" customFormat="false" ht="15" hidden="false" customHeight="false" outlineLevel="0" collapsed="false">
      <c r="A27" s="34" t="s">
        <v>160</v>
      </c>
      <c r="B27" s="35" t="s">
        <v>129</v>
      </c>
      <c r="C27" s="23" t="n">
        <v>60</v>
      </c>
      <c r="D27" s="36" t="n">
        <f aca="false">C27*INDEX($E$6:$E$7,MATCH(B27,$A$6:$A$7,0))</f>
        <v>127.529710306542</v>
      </c>
      <c r="E27" s="36" t="n">
        <f aca="false">C27*INDEX($F$6:$F$7,MATCH(B27,$A$6:$A$7,0))</f>
        <v>146.659166852524</v>
      </c>
      <c r="F27" s="37" t="n">
        <f aca="false">$D27/$B$17</f>
        <v>1.0807602568351</v>
      </c>
      <c r="G27" s="37" t="n">
        <f aca="false">$D27/$B$18</f>
        <v>0.720506837890069</v>
      </c>
      <c r="H27" s="37" t="n">
        <f aca="false">$D27/$B$19</f>
        <v>0.67120900161338</v>
      </c>
      <c r="I27" s="37" t="n">
        <f aca="false">$D27/$B$20</f>
        <v>0.53810004348752</v>
      </c>
      <c r="J27" s="37" t="n">
        <f aca="false">$D27/$B$21</f>
        <v>0.510118841226169</v>
      </c>
      <c r="K27" s="37" t="n">
        <f aca="false">$D27/$B$22</f>
        <v>0.479435001152415</v>
      </c>
    </row>
    <row r="28" customFormat="false" ht="15" hidden="false" customHeight="false" outlineLevel="0" collapsed="false">
      <c r="A28" s="34" t="s">
        <v>161</v>
      </c>
      <c r="B28" s="35" t="s">
        <v>128</v>
      </c>
      <c r="C28" s="23" t="n">
        <v>60</v>
      </c>
      <c r="D28" s="36" t="n">
        <f aca="false">C28*INDEX($E$6:$E$7,MATCH(B28,$A$6:$A$7,0))</f>
        <v>96.0218548291342</v>
      </c>
      <c r="E28" s="36" t="n">
        <f aca="false">C28*INDEX($F$6:$F$7,MATCH(B28,$A$6:$A$7,0))</f>
        <v>110.425133053504</v>
      </c>
      <c r="F28" s="37" t="n">
        <f aca="false">$D28/$B$17</f>
        <v>0.81374453245029</v>
      </c>
      <c r="G28" s="37" t="n">
        <f aca="false">$D28/$B$18</f>
        <v>0.54249635496686</v>
      </c>
      <c r="H28" s="37" t="n">
        <f aca="false">$D28/$B$19</f>
        <v>0.505378183311233</v>
      </c>
      <c r="I28" s="37" t="n">
        <f aca="false">$D28/$B$20</f>
        <v>0.405155505608161</v>
      </c>
      <c r="J28" s="37" t="n">
        <f aca="false">$D28/$B$21</f>
        <v>0.384087419316537</v>
      </c>
      <c r="K28" s="37" t="n">
        <f aca="false">$D28/$B$22</f>
        <v>0.360984416650881</v>
      </c>
    </row>
    <row r="29" customFormat="false" ht="15" hidden="false" customHeight="false" outlineLevel="0" collapsed="false">
      <c r="A29" s="34" t="s">
        <v>162</v>
      </c>
      <c r="B29" s="35" t="s">
        <v>129</v>
      </c>
      <c r="C29" s="23" t="n">
        <v>90</v>
      </c>
      <c r="D29" s="36" t="n">
        <f aca="false">C29*INDEX($E$6:$E$7,MATCH(B29,$A$6:$A$7,0))</f>
        <v>191.294565459813</v>
      </c>
      <c r="E29" s="36" t="n">
        <f aca="false">C29*INDEX($F$6:$F$7,MATCH(B29,$A$6:$A$7,0))</f>
        <v>219.988750278785</v>
      </c>
      <c r="F29" s="37" t="n">
        <f aca="false">$D29/$B$17</f>
        <v>1.62114038525266</v>
      </c>
      <c r="G29" s="37" t="n">
        <f aca="false">$D29/$B$18</f>
        <v>1.0807602568351</v>
      </c>
      <c r="H29" s="37" t="n">
        <f aca="false">$D29/$B$19</f>
        <v>1.00681350242007</v>
      </c>
      <c r="I29" s="37" t="n">
        <f aca="false">$D29/$B$20</f>
        <v>0.80715006523128</v>
      </c>
      <c r="J29" s="37" t="n">
        <f aca="false">$D29/$B$21</f>
        <v>0.765178261839254</v>
      </c>
      <c r="K29" s="37" t="n">
        <f aca="false">$D29/$B$22</f>
        <v>0.719152501728622</v>
      </c>
    </row>
    <row r="30" customFormat="false" ht="15" hidden="false" customHeight="false" outlineLevel="0" collapsed="false">
      <c r="A30" s="34" t="s">
        <v>163</v>
      </c>
      <c r="B30" s="35" t="s">
        <v>128</v>
      </c>
      <c r="C30" s="23" t="n">
        <v>90</v>
      </c>
      <c r="D30" s="36" t="n">
        <f aca="false">C30*INDEX($E$6:$E$7,MATCH(B30,$A$6:$A$7,0))</f>
        <v>144.032782243701</v>
      </c>
      <c r="E30" s="36" t="n">
        <f aca="false">C30*INDEX($F$6:$F$7,MATCH(B30,$A$6:$A$7,0))</f>
        <v>165.637699580256</v>
      </c>
      <c r="F30" s="37" t="n">
        <f aca="false">$D30/$B$17</f>
        <v>1.22061679867543</v>
      </c>
      <c r="G30" s="37" t="n">
        <f aca="false">$D30/$B$18</f>
        <v>0.81374453245029</v>
      </c>
      <c r="H30" s="37" t="n">
        <f aca="false">$D30/$B$19</f>
        <v>0.758067274966849</v>
      </c>
      <c r="I30" s="37" t="n">
        <f aca="false">$D30/$B$20</f>
        <v>0.607733258412242</v>
      </c>
      <c r="J30" s="37" t="n">
        <f aca="false">$D30/$B$21</f>
        <v>0.576131128974805</v>
      </c>
      <c r="K30" s="37" t="n">
        <f aca="false">$D30/$B$22</f>
        <v>0.541476624976321</v>
      </c>
    </row>
    <row r="32" customFormat="false" ht="15" hidden="false" customHeight="false" outlineLevel="0" collapsed="false">
      <c r="A32" s="4" t="s">
        <v>164</v>
      </c>
    </row>
    <row r="33" customFormat="false" ht="30" hidden="false" customHeight="true" outlineLevel="0" collapsed="false">
      <c r="A33" s="29" t="s">
        <v>155</v>
      </c>
      <c r="B33" s="29" t="s">
        <v>122</v>
      </c>
      <c r="C33" s="29" t="s">
        <v>156</v>
      </c>
      <c r="D33" s="29" t="s">
        <v>157</v>
      </c>
      <c r="E33" s="29" t="s">
        <v>158</v>
      </c>
      <c r="F33" s="29" t="s">
        <v>142</v>
      </c>
      <c r="G33" s="29" t="s">
        <v>145</v>
      </c>
      <c r="H33" s="29" t="s">
        <v>147</v>
      </c>
      <c r="I33" s="29" t="s">
        <v>149</v>
      </c>
      <c r="J33" s="29" t="s">
        <v>151</v>
      </c>
      <c r="K33" s="29" t="s">
        <v>153</v>
      </c>
    </row>
    <row r="34" customFormat="false" ht="15" hidden="false" customHeight="false" outlineLevel="0" collapsed="false">
      <c r="A34" s="34" t="s">
        <v>159</v>
      </c>
      <c r="B34" s="35" t="s">
        <v>128</v>
      </c>
      <c r="C34" s="23" t="n">
        <v>30</v>
      </c>
      <c r="D34" s="36" t="n">
        <f aca="false">C34*INDEX($E$6:$E$7,MATCH(B34,$A$6:$A$7,0))</f>
        <v>48.0109274145671</v>
      </c>
      <c r="E34" s="36" t="n">
        <f aca="false">C34*INDEX($F$6:$F$7,MATCH(B34,$A$6:$A$7,0))</f>
        <v>55.2125665267522</v>
      </c>
      <c r="F34" s="34" t="str">
        <f aca="false">IF($E34/$B$17&gt;1,"Too small",IF($D34/$B$17&lt;$B$12,"Looks &lt; half",IF($E34/$B$17&gt;$B$13,"Tight – test","OK")))</f>
        <v>Looks &lt; half</v>
      </c>
      <c r="G34" s="34" t="str">
        <f aca="false">IF($E34/$B$18&gt;1,"Too small",IF($D34/$B$18&lt;$B$12,"Looks &lt; half",IF($E34/$B$18&gt;$B$13,"Tight – test","OK")))</f>
        <v>Looks &lt; half</v>
      </c>
      <c r="H34" s="34" t="str">
        <f aca="false">IF($E34/$B$19&gt;1,"Too small",IF($D34/$B$19&lt;$B$12,"Looks &lt; half",IF($E34/$B$19&gt;$B$13,"Tight – test","OK")))</f>
        <v>Looks &lt; half</v>
      </c>
      <c r="I34" s="34" t="str">
        <f aca="false">IF($E34/$B$20&gt;1,"Too small",IF($D34/$B$20&lt;$B$12,"Looks &lt; half",IF($E34/$B$20&gt;$B$13,"Tight – test","OK")))</f>
        <v>Looks &lt; half</v>
      </c>
      <c r="J34" s="34" t="str">
        <f aca="false">IF($E34/$B$21&gt;1,"Too small",IF($D34/$B$21&lt;$B$12,"Looks &lt; half",IF($E34/$B$21&gt;$B$13,"Tight – test","OK")))</f>
        <v>Looks &lt; half</v>
      </c>
      <c r="K34" s="34" t="str">
        <f aca="false">IF($E34/$B$22&gt;1,"Too small",IF($D34/$B$22&lt;$B$12,"Looks &lt; half",IF($E34/$B$22&gt;$B$13,"Tight – test","OK")))</f>
        <v>Looks &lt; half</v>
      </c>
    </row>
    <row r="35" customFormat="false" ht="15" hidden="false" customHeight="false" outlineLevel="0" collapsed="false">
      <c r="A35" s="34" t="s">
        <v>160</v>
      </c>
      <c r="B35" s="35" t="s">
        <v>129</v>
      </c>
      <c r="C35" s="23" t="n">
        <v>60</v>
      </c>
      <c r="D35" s="36" t="n">
        <f aca="false">C35*INDEX($E$6:$E$7,MATCH(B35,$A$6:$A$7,0))</f>
        <v>127.529710306542</v>
      </c>
      <c r="E35" s="36" t="n">
        <f aca="false">C35*INDEX($F$6:$F$7,MATCH(B35,$A$6:$A$7,0))</f>
        <v>146.659166852524</v>
      </c>
      <c r="F35" s="34" t="str">
        <f aca="false">IF($E35/$B$17&gt;1,"Too small",IF($D35/$B$17&lt;$B$12,"Looks &lt; half",IF($E35/$B$17&gt;$B$13,"Tight – test","OK")))</f>
        <v>Too small</v>
      </c>
      <c r="G35" s="34" t="str">
        <f aca="false">IF($E35/$B$18&gt;1,"Too small",IF($D35/$B$18&lt;$B$12,"Looks &lt; half",IF($E35/$B$18&gt;$B$13,"Tight – test","OK")))</f>
        <v>OK</v>
      </c>
      <c r="H35" s="34" t="str">
        <f aca="false">IF($E35/$B$19&gt;1,"Too small",IF($D35/$B$19&lt;$B$12,"Looks &lt; half",IF($E35/$B$19&gt;$B$13,"Tight – test","OK")))</f>
        <v>OK</v>
      </c>
      <c r="I35" s="34" t="str">
        <f aca="false">IF($E35/$B$20&gt;1,"Too small",IF($D35/$B$20&lt;$B$12,"Looks &lt; half",IF($E35/$B$20&gt;$B$13,"Tight – test","OK")))</f>
        <v>OK</v>
      </c>
      <c r="J35" s="34" t="str">
        <f aca="false">IF($E35/$B$21&gt;1,"Too small",IF($D35/$B$21&lt;$B$12,"Looks &lt; half",IF($E35/$B$21&gt;$B$13,"Tight – test","OK")))</f>
        <v>OK</v>
      </c>
      <c r="K35" s="34" t="str">
        <f aca="false">IF($E35/$B$22&gt;1,"Too small",IF($D35/$B$22&lt;$B$12,"Looks &lt; half",IF($E35/$B$22&gt;$B$13,"Tight – test","OK")))</f>
        <v>Looks &lt; half</v>
      </c>
    </row>
    <row r="36" customFormat="false" ht="15" hidden="false" customHeight="false" outlineLevel="0" collapsed="false">
      <c r="A36" s="34" t="s">
        <v>161</v>
      </c>
      <c r="B36" s="35" t="s">
        <v>128</v>
      </c>
      <c r="C36" s="23" t="n">
        <v>60</v>
      </c>
      <c r="D36" s="36" t="n">
        <f aca="false">C36*INDEX($E$6:$E$7,MATCH(B36,$A$6:$A$7,0))</f>
        <v>96.0218548291342</v>
      </c>
      <c r="E36" s="36" t="n">
        <f aca="false">C36*INDEX($F$6:$F$7,MATCH(B36,$A$6:$A$7,0))</f>
        <v>110.425133053504</v>
      </c>
      <c r="F36" s="34" t="str">
        <f aca="false">IF($E36/$B$17&gt;1,"Too small",IF($D36/$B$17&lt;$B$12,"Looks &lt; half",IF($E36/$B$17&gt;$B$13,"Tight – test","OK")))</f>
        <v>Tight – test</v>
      </c>
      <c r="G36" s="34" t="str">
        <f aca="false">IF($E36/$B$18&gt;1,"Too small",IF($D36/$B$18&lt;$B$12,"Looks &lt; half",IF($E36/$B$18&gt;$B$13,"Tight – test","OK")))</f>
        <v>OK</v>
      </c>
      <c r="H36" s="34" t="str">
        <f aca="false">IF($E36/$B$19&gt;1,"Too small",IF($D36/$B$19&lt;$B$12,"Looks &lt; half",IF($E36/$B$19&gt;$B$13,"Tight – test","OK")))</f>
        <v>OK</v>
      </c>
      <c r="I36" s="34" t="str">
        <f aca="false">IF($E36/$B$20&gt;1,"Too small",IF($D36/$B$20&lt;$B$12,"Looks &lt; half",IF($E36/$B$20&gt;$B$13,"Tight – test","OK")))</f>
        <v>Looks &lt; half</v>
      </c>
      <c r="J36" s="34" t="str">
        <f aca="false">IF($E36/$B$21&gt;1,"Too small",IF($D36/$B$21&lt;$B$12,"Looks &lt; half",IF($E36/$B$21&gt;$B$13,"Tight – test","OK")))</f>
        <v>Looks &lt; half</v>
      </c>
      <c r="K36" s="34" t="str">
        <f aca="false">IF($E36/$B$22&gt;1,"Too small",IF($D36/$B$22&lt;$B$12,"Looks &lt; half",IF($E36/$B$22&gt;$B$13,"Tight – test","OK")))</f>
        <v>Looks &lt; half</v>
      </c>
    </row>
    <row r="37" customFormat="false" ht="15" hidden="false" customHeight="false" outlineLevel="0" collapsed="false">
      <c r="A37" s="34" t="s">
        <v>162</v>
      </c>
      <c r="B37" s="35" t="s">
        <v>129</v>
      </c>
      <c r="C37" s="23" t="n">
        <v>90</v>
      </c>
      <c r="D37" s="36" t="n">
        <f aca="false">C37*INDEX($E$6:$E$7,MATCH(B37,$A$6:$A$7,0))</f>
        <v>191.294565459813</v>
      </c>
      <c r="E37" s="36" t="n">
        <f aca="false">C37*INDEX($F$6:$F$7,MATCH(B37,$A$6:$A$7,0))</f>
        <v>219.988750278785</v>
      </c>
      <c r="F37" s="34" t="str">
        <f aca="false">IF($E37/$B$17&gt;1,"Too small",IF($D37/$B$17&lt;$B$12,"Looks &lt; half",IF($E37/$B$17&gt;$B$13,"Tight – test","OK")))</f>
        <v>Too small</v>
      </c>
      <c r="G37" s="34" t="str">
        <f aca="false">IF($E37/$B$18&gt;1,"Too small",IF($D37/$B$18&lt;$B$12,"Looks &lt; half",IF($E37/$B$18&gt;$B$13,"Tight – test","OK")))</f>
        <v>Too small</v>
      </c>
      <c r="H37" s="34" t="str">
        <f aca="false">IF($E37/$B$19&gt;1,"Too small",IF($D37/$B$19&lt;$B$12,"Looks &lt; half",IF($E37/$B$19&gt;$B$13,"Tight – test","OK")))</f>
        <v>Too small</v>
      </c>
      <c r="I37" s="34" t="str">
        <f aca="false">IF($E37/$B$20&gt;1,"Too small",IF($D37/$B$20&lt;$B$12,"Looks &lt; half",IF($E37/$B$20&gt;$B$13,"Tight – test","OK")))</f>
        <v>Tight – test</v>
      </c>
      <c r="J37" s="34" t="str">
        <f aca="false">IF($E37/$B$21&gt;1,"Too small",IF($D37/$B$21&lt;$B$12,"Looks &lt; half",IF($E37/$B$21&gt;$B$13,"Tight – test","OK")))</f>
        <v>OK</v>
      </c>
      <c r="K37" s="34" t="str">
        <f aca="false">IF($E37/$B$22&gt;1,"Too small",IF($D37/$B$22&lt;$B$12,"Looks &lt; half",IF($E37/$B$22&gt;$B$13,"Tight – test","OK")))</f>
        <v>OK</v>
      </c>
    </row>
    <row r="38" customFormat="false" ht="15" hidden="false" customHeight="false" outlineLevel="0" collapsed="false">
      <c r="A38" s="34" t="s">
        <v>163</v>
      </c>
      <c r="B38" s="35" t="s">
        <v>128</v>
      </c>
      <c r="C38" s="23" t="n">
        <v>90</v>
      </c>
      <c r="D38" s="36" t="n">
        <f aca="false">C38*INDEX($E$6:$E$7,MATCH(B38,$A$6:$A$7,0))</f>
        <v>144.032782243701</v>
      </c>
      <c r="E38" s="36" t="n">
        <f aca="false">C38*INDEX($F$6:$F$7,MATCH(B38,$A$6:$A$7,0))</f>
        <v>165.637699580256</v>
      </c>
      <c r="F38" s="34" t="str">
        <f aca="false">IF($E38/$B$17&gt;1,"Too small",IF($D38/$B$17&lt;$B$12,"Looks &lt; half",IF($E38/$B$17&gt;$B$13,"Tight – test","OK")))</f>
        <v>Too small</v>
      </c>
      <c r="G38" s="34" t="str">
        <f aca="false">IF($E38/$B$18&gt;1,"Too small",IF($D38/$B$18&lt;$B$12,"Looks &lt; half",IF($E38/$B$18&gt;$B$13,"Tight – test","OK")))</f>
        <v>Tight – test</v>
      </c>
      <c r="H38" s="34" t="str">
        <f aca="false">IF($E38/$B$19&gt;1,"Too small",IF($D38/$B$19&lt;$B$12,"Looks &lt; half",IF($E38/$B$19&gt;$B$13,"Tight – test","OK")))</f>
        <v>OK</v>
      </c>
      <c r="I38" s="34" t="str">
        <f aca="false">IF($E38/$B$20&gt;1,"Too small",IF($D38/$B$20&lt;$B$12,"Looks &lt; half",IF($E38/$B$20&gt;$B$13,"Tight – test","OK")))</f>
        <v>OK</v>
      </c>
      <c r="J38" s="34" t="str">
        <f aca="false">IF($E38/$B$21&gt;1,"Too small",IF($D38/$B$21&lt;$B$12,"Looks &lt; half",IF($E38/$B$21&gt;$B$13,"Tight – test","OK")))</f>
        <v>OK</v>
      </c>
      <c r="K38" s="34" t="str">
        <f aca="false">IF($E38/$B$22&gt;1,"Too small",IF($D38/$B$22&lt;$B$12,"Looks &lt; half",IF($E38/$B$22&gt;$B$13,"Tight – test","OK")))</f>
        <v>OK</v>
      </c>
    </row>
    <row r="40" customFormat="false" ht="15" hidden="false" customHeight="false" outlineLevel="0" collapsed="false">
      <c r="A40" s="4" t="s">
        <v>165</v>
      </c>
    </row>
    <row r="41" customFormat="false" ht="15" hidden="false" customHeight="false" outlineLevel="0" collapsed="false">
      <c r="A41" s="20" t="s">
        <v>166</v>
      </c>
    </row>
    <row r="42" customFormat="false" ht="15" hidden="false" customHeight="false" outlineLevel="0" collapsed="false">
      <c r="A42" s="20" t="s">
        <v>167</v>
      </c>
    </row>
    <row r="43" customFormat="false" ht="15" hidden="false" customHeight="false" outlineLevel="0" collapsed="false">
      <c r="A43" s="20" t="s">
        <v>168</v>
      </c>
    </row>
    <row r="44" customFormat="false" ht="15" hidden="false" customHeight="false" outlineLevel="0" collapsed="false">
      <c r="A44" s="20" t="s">
        <v>169</v>
      </c>
    </row>
    <row r="45" customFormat="false" ht="15" hidden="false" customHeight="false" outlineLevel="0" collapsed="false">
      <c r="A45" s="20" t="s">
        <v>170</v>
      </c>
    </row>
    <row r="46" customFormat="false" ht="15" hidden="false" customHeight="false" outlineLevel="0" collapsed="false">
      <c r="A46" s="20" t="s">
        <v>171</v>
      </c>
    </row>
    <row r="47" customFormat="false" ht="15" hidden="false" customHeight="false" outlineLevel="0" collapsed="false">
      <c r="A47" s="20" t="s">
        <v>172</v>
      </c>
    </row>
  </sheetData>
  <conditionalFormatting sqref="F26:K30">
    <cfRule type="cellIs" priority="2" operator="lessThan" aboveAverage="0" equalAverage="0" bottom="0" percent="0" rank="0" text="" dxfId="0">
      <formula>$B$12</formula>
    </cfRule>
    <cfRule type="cellIs" priority="3" operator="greaterThanOrEqual" aboveAverage="0" equalAverage="0" bottom="0" percent="0" rank="0" text="" dxfId="1">
      <formula>$B$12</formula>
    </cfRule>
  </conditionalFormatting>
  <conditionalFormatting sqref="F34:K38">
    <cfRule type="expression" priority="4" aboveAverage="0" equalAverage="0" bottom="0" percent="0" rank="0" text="" dxfId="1">
      <formula>F34="OK"</formula>
    </cfRule>
    <cfRule type="expression" priority="5" aboveAverage="0" equalAverage="0" bottom="0" percent="0" rank="0" text="" dxfId="2">
      <formula>F34="Tight – test"</formula>
    </cfRule>
    <cfRule type="expression" priority="6" aboveAverage="0" equalAverage="0" bottom="0" percent="0" rank="0" text="" dxfId="0">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173</v>
      </c>
    </row>
    <row r="2" customFormat="false" ht="15" hidden="false" customHeight="false" outlineLevel="0" collapsed="false">
      <c r="A2" s="2" t="s">
        <v>174</v>
      </c>
    </row>
    <row r="4" customFormat="false" ht="15" hidden="false" customHeight="false" outlineLevel="0" collapsed="false">
      <c r="A4" s="6" t="s">
        <v>175</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8" t="s">
        <v>176</v>
      </c>
      <c r="B5" s="38"/>
      <c r="C5" s="38"/>
      <c r="D5" s="38"/>
      <c r="E5" s="38"/>
      <c r="F5" s="38"/>
      <c r="G5" s="38"/>
      <c r="H5" s="38"/>
      <c r="I5" s="38"/>
      <c r="J5" s="38"/>
      <c r="K5" s="38"/>
      <c r="L5" s="38"/>
      <c r="M5" s="38"/>
      <c r="N5" s="38"/>
      <c r="O5" s="38"/>
      <c r="P5" s="38"/>
      <c r="Q5" s="38"/>
      <c r="R5" s="38"/>
      <c r="S5" s="38"/>
      <c r="T5" s="38"/>
      <c r="U5" s="38"/>
      <c r="V5" s="38"/>
    </row>
    <row r="6" customFormat="false" ht="54" hidden="false" customHeight="true" outlineLevel="0" collapsed="false">
      <c r="A6" s="7" t="s">
        <v>177</v>
      </c>
      <c r="B6" s="7" t="s">
        <v>178</v>
      </c>
      <c r="C6" s="7" t="s">
        <v>179</v>
      </c>
      <c r="D6" s="7" t="s">
        <v>180</v>
      </c>
      <c r="E6" s="7" t="s">
        <v>181</v>
      </c>
      <c r="F6" s="7" t="s">
        <v>182</v>
      </c>
      <c r="G6" s="7" t="s">
        <v>183</v>
      </c>
      <c r="H6" s="7" t="s">
        <v>184</v>
      </c>
      <c r="I6" s="7" t="s">
        <v>185</v>
      </c>
      <c r="J6" s="7" t="s">
        <v>186</v>
      </c>
      <c r="K6" s="7" t="s">
        <v>187</v>
      </c>
      <c r="L6" s="7" t="s">
        <v>188</v>
      </c>
      <c r="M6" s="7" t="s">
        <v>189</v>
      </c>
      <c r="N6" s="7" t="s">
        <v>190</v>
      </c>
      <c r="O6" s="7" t="s">
        <v>191</v>
      </c>
      <c r="P6" s="7" t="s">
        <v>192</v>
      </c>
      <c r="Q6" s="7" t="s">
        <v>193</v>
      </c>
      <c r="R6" s="7" t="s">
        <v>194</v>
      </c>
      <c r="S6" s="7" t="s">
        <v>195</v>
      </c>
      <c r="T6" s="7" t="s">
        <v>196</v>
      </c>
      <c r="U6" s="7" t="s">
        <v>197</v>
      </c>
      <c r="V6" s="7" t="s">
        <v>198</v>
      </c>
    </row>
    <row r="7" customFormat="false" ht="23.85" hidden="false" customHeight="false" outlineLevel="0" collapsed="false">
      <c r="A7" s="34" t="s">
        <v>199</v>
      </c>
      <c r="B7" s="13" t="s">
        <v>142</v>
      </c>
      <c r="C7" s="9" t="s">
        <v>200</v>
      </c>
      <c r="D7" s="34" t="s">
        <v>143</v>
      </c>
      <c r="E7" s="39" t="n">
        <f aca="false">Inputs!$B$5</f>
        <v>2000</v>
      </c>
      <c r="F7" s="40" t="s">
        <v>201</v>
      </c>
      <c r="G7" s="41" t="n">
        <v>11.45</v>
      </c>
      <c r="H7" s="23" t="n">
        <v>24</v>
      </c>
      <c r="I7" s="31" t="n">
        <f aca="false">G7/H7</f>
        <v>0.477083333333333</v>
      </c>
      <c r="J7" s="9" t="s">
        <v>202</v>
      </c>
      <c r="K7" s="42" t="n">
        <v>0.14</v>
      </c>
      <c r="L7" s="32" t="n">
        <f aca="false">IF(F7="USD",Inputs!$B$7,1)</f>
        <v>1.38</v>
      </c>
      <c r="M7" s="26" t="n">
        <f aca="false">(I7+K7)*L7*(1+Inputs!$B$29)</f>
        <v>0.851575</v>
      </c>
      <c r="N7" s="26" t="n">
        <v>0</v>
      </c>
      <c r="O7" s="26" t="n">
        <f aca="false">$O$11/SUM($E$7:$E$9)</f>
        <v>0.279</v>
      </c>
      <c r="P7" s="43" t="n">
        <f aca="false">M7+N7+O7</f>
        <v>1.130575</v>
      </c>
      <c r="Q7" s="44" t="n">
        <f aca="false">P7*E7</f>
        <v>2261.15</v>
      </c>
      <c r="R7" s="26" t="n">
        <f aca="false">M7*Inputs!$B$30</f>
        <v>0.4257875</v>
      </c>
      <c r="S7" s="43" t="n">
        <f aca="false">P7+R7</f>
        <v>1.5563625</v>
      </c>
      <c r="T7" s="44" t="n">
        <f aca="false">S7*E7</f>
        <v>3112.725</v>
      </c>
      <c r="U7" s="26" t="n">
        <f aca="false">Inputs!$B$12-P7</f>
        <v>2.309425</v>
      </c>
      <c r="V7" s="45" t="s">
        <v>203</v>
      </c>
    </row>
    <row r="8" customFormat="false" ht="22.35" hidden="false" customHeight="false" outlineLevel="0" collapsed="false">
      <c r="A8" s="34" t="s">
        <v>204</v>
      </c>
      <c r="B8" s="13" t="s">
        <v>145</v>
      </c>
      <c r="C8" s="9" t="s">
        <v>205</v>
      </c>
      <c r="D8" s="34" t="s">
        <v>146</v>
      </c>
      <c r="E8" s="39" t="n">
        <f aca="false">Inputs!$B$5</f>
        <v>2000</v>
      </c>
      <c r="F8" s="40" t="s">
        <v>201</v>
      </c>
      <c r="G8" s="41" t="n">
        <v>6.07</v>
      </c>
      <c r="H8" s="23" t="n">
        <v>12</v>
      </c>
      <c r="I8" s="31" t="n">
        <f aca="false">G8/H8</f>
        <v>0.505833333333333</v>
      </c>
      <c r="J8" s="9" t="s">
        <v>206</v>
      </c>
      <c r="K8" s="42" t="n">
        <v>0.11</v>
      </c>
      <c r="L8" s="32" t="n">
        <f aca="false">IF(F8="USD",Inputs!$B$7,1)</f>
        <v>1.38</v>
      </c>
      <c r="M8" s="26" t="n">
        <f aca="false">(I8+K8)*L8*(1+Inputs!$B$29)</f>
        <v>0.84985</v>
      </c>
      <c r="N8" s="26" t="n">
        <v>0</v>
      </c>
      <c r="O8" s="26" t="n">
        <f aca="false">$O$11/SUM($E$7:$E$9)</f>
        <v>0.279</v>
      </c>
      <c r="P8" s="43" t="n">
        <f aca="false">M8+N8+O8</f>
        <v>1.12885</v>
      </c>
      <c r="Q8" s="44" t="n">
        <f aca="false">P8*E8</f>
        <v>2257.7</v>
      </c>
      <c r="R8" s="26" t="n">
        <f aca="false">M8*Inputs!$B$30</f>
        <v>0.424925</v>
      </c>
      <c r="S8" s="43" t="n">
        <f aca="false">P8+R8</f>
        <v>1.553775</v>
      </c>
      <c r="T8" s="44" t="n">
        <f aca="false">S8*E8</f>
        <v>3107.55</v>
      </c>
      <c r="U8" s="26" t="n">
        <f aca="false">Inputs!$B$12-P8</f>
        <v>2.31115</v>
      </c>
      <c r="V8" s="45" t="s">
        <v>203</v>
      </c>
    </row>
    <row r="9" customFormat="false" ht="35.05" hidden="false" customHeight="false" outlineLevel="0" collapsed="false">
      <c r="A9" s="34" t="s">
        <v>207</v>
      </c>
      <c r="B9" s="13" t="s">
        <v>153</v>
      </c>
      <c r="C9" s="9" t="s">
        <v>208</v>
      </c>
      <c r="D9" s="34" t="s">
        <v>150</v>
      </c>
      <c r="E9" s="39" t="n">
        <f aca="false">Inputs!$B$5</f>
        <v>2000</v>
      </c>
      <c r="F9" s="40" t="s">
        <v>201</v>
      </c>
      <c r="G9" s="41" t="n">
        <v>5.24</v>
      </c>
      <c r="H9" s="23" t="n">
        <v>12</v>
      </c>
      <c r="I9" s="31" t="n">
        <f aca="false">G9/H9</f>
        <v>0.436666666666667</v>
      </c>
      <c r="J9" s="9" t="s">
        <v>209</v>
      </c>
      <c r="K9" s="42" t="n">
        <v>0.15</v>
      </c>
      <c r="L9" s="32" t="n">
        <f aca="false">IF(F9="USD",Inputs!$B$7,1)</f>
        <v>1.38</v>
      </c>
      <c r="M9" s="26" t="n">
        <f aca="false">(I9+K9)*L9*(1+Inputs!$B$29)</f>
        <v>0.8096</v>
      </c>
      <c r="N9" s="26" t="n">
        <v>0</v>
      </c>
      <c r="O9" s="26" t="n">
        <f aca="false">$O$11/SUM($E$7:$E$9)</f>
        <v>0.279</v>
      </c>
      <c r="P9" s="43" t="n">
        <f aca="false">M9+N9+O9</f>
        <v>1.0886</v>
      </c>
      <c r="Q9" s="44" t="n">
        <f aca="false">P9*E9</f>
        <v>2177.2</v>
      </c>
      <c r="R9" s="26" t="n">
        <f aca="false">M9*Inputs!$B$30</f>
        <v>0.4048</v>
      </c>
      <c r="S9" s="43" t="n">
        <f aca="false">P9+R9</f>
        <v>1.4934</v>
      </c>
      <c r="T9" s="44" t="n">
        <f aca="false">S9*E9</f>
        <v>2986.8</v>
      </c>
      <c r="U9" s="26" t="n">
        <f aca="false">Inputs!$B$12-P9</f>
        <v>2.3514</v>
      </c>
      <c r="V9" s="45" t="s">
        <v>210</v>
      </c>
    </row>
    <row r="10" customFormat="false" ht="15" hidden="false" customHeight="false" outlineLevel="0" collapsed="false">
      <c r="A10" s="46" t="s">
        <v>211</v>
      </c>
      <c r="B10" s="47"/>
      <c r="C10" s="47"/>
      <c r="D10" s="47"/>
      <c r="E10" s="48" t="n">
        <f aca="false">SUM(E7:E9)</f>
        <v>6000</v>
      </c>
      <c r="F10" s="47"/>
      <c r="G10" s="47"/>
      <c r="H10" s="47"/>
      <c r="I10" s="47"/>
      <c r="J10" s="47"/>
      <c r="K10" s="47"/>
      <c r="L10" s="47"/>
      <c r="M10" s="47"/>
      <c r="N10" s="47"/>
      <c r="O10" s="47"/>
      <c r="P10" s="43" t="n">
        <f aca="false">Q10/E10</f>
        <v>1.11600833333333</v>
      </c>
      <c r="Q10" s="49" t="n">
        <f aca="false">SUM(Q7:Q9)</f>
        <v>6696.05</v>
      </c>
      <c r="R10" s="47"/>
      <c r="S10" s="43" t="n">
        <f aca="false">T10/E10</f>
        <v>1.5345125</v>
      </c>
      <c r="T10" s="49" t="n">
        <f aca="false">SUM(T7:T9)</f>
        <v>9207.075</v>
      </c>
      <c r="U10" s="43" t="n">
        <f aca="false">Inputs!$B$12-P10</f>
        <v>2.32399166666667</v>
      </c>
      <c r="V10" s="47"/>
    </row>
    <row r="11" customFormat="false" ht="15" hidden="false" customHeight="false" outlineLevel="0" collapsed="false">
      <c r="A11" s="2" t="s">
        <v>212</v>
      </c>
      <c r="O11" s="44" t="n">
        <f aca="false">Inputs!$B$15*Inputs!$B$7+Inputs!$B$16</f>
        <v>1674</v>
      </c>
      <c r="P11" s="2" t="s">
        <v>213</v>
      </c>
    </row>
    <row r="13" customFormat="false" ht="15" hidden="false" customHeight="false" outlineLevel="0" collapsed="false">
      <c r="A13" s="6" t="s">
        <v>214</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8" t="s">
        <v>215</v>
      </c>
      <c r="B14" s="38"/>
      <c r="C14" s="38"/>
      <c r="D14" s="38"/>
      <c r="E14" s="38"/>
      <c r="F14" s="38"/>
      <c r="G14" s="38"/>
      <c r="H14" s="38"/>
      <c r="I14" s="38"/>
      <c r="J14" s="38"/>
      <c r="K14" s="38"/>
      <c r="L14" s="38"/>
      <c r="M14" s="38"/>
      <c r="N14" s="38"/>
      <c r="O14" s="38"/>
      <c r="P14" s="38"/>
      <c r="Q14" s="38"/>
      <c r="R14" s="38"/>
      <c r="S14" s="38"/>
      <c r="T14" s="38"/>
      <c r="U14" s="38"/>
      <c r="V14" s="38"/>
    </row>
    <row r="15" customFormat="false" ht="54" hidden="false" customHeight="true" outlineLevel="0" collapsed="false">
      <c r="A15" s="7" t="s">
        <v>177</v>
      </c>
      <c r="B15" s="7" t="s">
        <v>178</v>
      </c>
      <c r="C15" s="7" t="s">
        <v>179</v>
      </c>
      <c r="D15" s="7" t="s">
        <v>180</v>
      </c>
      <c r="E15" s="7" t="s">
        <v>181</v>
      </c>
      <c r="F15" s="7" t="s">
        <v>182</v>
      </c>
      <c r="G15" s="7" t="s">
        <v>183</v>
      </c>
      <c r="H15" s="7" t="s">
        <v>184</v>
      </c>
      <c r="I15" s="7" t="s">
        <v>185</v>
      </c>
      <c r="J15" s="7" t="s">
        <v>186</v>
      </c>
      <c r="K15" s="7" t="s">
        <v>187</v>
      </c>
      <c r="L15" s="7" t="s">
        <v>188</v>
      </c>
      <c r="M15" s="7" t="s">
        <v>189</v>
      </c>
      <c r="N15" s="7" t="s">
        <v>190</v>
      </c>
      <c r="O15" s="7" t="s">
        <v>191</v>
      </c>
      <c r="P15" s="7" t="s">
        <v>192</v>
      </c>
      <c r="Q15" s="7" t="s">
        <v>193</v>
      </c>
      <c r="R15" s="7" t="s">
        <v>194</v>
      </c>
      <c r="S15" s="7" t="s">
        <v>195</v>
      </c>
      <c r="T15" s="7" t="s">
        <v>196</v>
      </c>
      <c r="U15" s="7" t="s">
        <v>197</v>
      </c>
      <c r="V15" s="7" t="s">
        <v>198</v>
      </c>
    </row>
    <row r="16" customFormat="false" ht="22.35" hidden="false" customHeight="false" outlineLevel="0" collapsed="false">
      <c r="A16" s="34" t="s">
        <v>199</v>
      </c>
      <c r="B16" s="13" t="s">
        <v>142</v>
      </c>
      <c r="C16" s="9" t="s">
        <v>216</v>
      </c>
      <c r="D16" s="34" t="s">
        <v>143</v>
      </c>
      <c r="E16" s="39" t="n">
        <f aca="false">Inputs!$B$5</f>
        <v>2000</v>
      </c>
      <c r="F16" s="40" t="s">
        <v>201</v>
      </c>
      <c r="G16" s="41" t="n">
        <v>12.15</v>
      </c>
      <c r="H16" s="23" t="n">
        <v>24</v>
      </c>
      <c r="I16" s="31" t="n">
        <f aca="false">G16/H16</f>
        <v>0.50625</v>
      </c>
      <c r="J16" s="9" t="s">
        <v>217</v>
      </c>
      <c r="K16" s="42" t="n">
        <v>0.1136</v>
      </c>
      <c r="L16" s="32" t="n">
        <f aca="false">IF(F16="USD",Inputs!$B$7,1)</f>
        <v>1.38</v>
      </c>
      <c r="M16" s="26" t="n">
        <f aca="false">(I16+K16)*L16*(1+Inputs!$B$29)</f>
        <v>0.855393</v>
      </c>
      <c r="N16" s="26" t="n">
        <v>0</v>
      </c>
      <c r="O16" s="26" t="n">
        <f aca="false">$O$20/SUM($E$16:$E$18)</f>
        <v>0.279</v>
      </c>
      <c r="P16" s="43" t="n">
        <f aca="false">M16+N16+O16</f>
        <v>1.134393</v>
      </c>
      <c r="Q16" s="44" t="n">
        <f aca="false">P16*E16</f>
        <v>2268.786</v>
      </c>
      <c r="R16" s="26" t="n">
        <f aca="false">M16*Inputs!$B$30</f>
        <v>0.4276965</v>
      </c>
      <c r="S16" s="43" t="n">
        <f aca="false">P16+R16</f>
        <v>1.5620895</v>
      </c>
      <c r="T16" s="44" t="n">
        <f aca="false">S16*E16</f>
        <v>3124.179</v>
      </c>
      <c r="U16" s="26" t="n">
        <f aca="false">Inputs!$B$12-P16</f>
        <v>2.305607</v>
      </c>
      <c r="V16" s="45" t="s">
        <v>203</v>
      </c>
    </row>
    <row r="17" customFormat="false" ht="22.35" hidden="false" customHeight="false" outlineLevel="0" collapsed="false">
      <c r="A17" s="34" t="s">
        <v>204</v>
      </c>
      <c r="B17" s="13" t="s">
        <v>145</v>
      </c>
      <c r="C17" s="9" t="s">
        <v>218</v>
      </c>
      <c r="D17" s="34" t="s">
        <v>146</v>
      </c>
      <c r="E17" s="39" t="n">
        <f aca="false">Inputs!$B$5</f>
        <v>2000</v>
      </c>
      <c r="F17" s="40" t="s">
        <v>201</v>
      </c>
      <c r="G17" s="41" t="n">
        <v>7.4</v>
      </c>
      <c r="H17" s="23" t="n">
        <v>12</v>
      </c>
      <c r="I17" s="31" t="n">
        <f aca="false">G17/H17</f>
        <v>0.616666666666667</v>
      </c>
      <c r="J17" s="9" t="s">
        <v>219</v>
      </c>
      <c r="K17" s="42" t="n">
        <v>0.1444</v>
      </c>
      <c r="L17" s="32" t="n">
        <f aca="false">IF(F17="USD",Inputs!$B$7,1)</f>
        <v>1.38</v>
      </c>
      <c r="M17" s="26" t="n">
        <f aca="false">(I17+K17)*L17*(1+Inputs!$B$29)</f>
        <v>1.050272</v>
      </c>
      <c r="N17" s="26" t="n">
        <v>0</v>
      </c>
      <c r="O17" s="26" t="n">
        <f aca="false">$O$20/SUM($E$16:$E$18)</f>
        <v>0.279</v>
      </c>
      <c r="P17" s="43" t="n">
        <f aca="false">M17+N17+O17</f>
        <v>1.329272</v>
      </c>
      <c r="Q17" s="44" t="n">
        <f aca="false">P17*E17</f>
        <v>2658.544</v>
      </c>
      <c r="R17" s="26" t="n">
        <f aca="false">M17*Inputs!$B$30</f>
        <v>0.525136</v>
      </c>
      <c r="S17" s="43" t="n">
        <f aca="false">P17+R17</f>
        <v>1.854408</v>
      </c>
      <c r="T17" s="44" t="n">
        <f aca="false">S17*E17</f>
        <v>3708.816</v>
      </c>
      <c r="U17" s="26" t="n">
        <f aca="false">Inputs!$B$12-P17</f>
        <v>2.110728</v>
      </c>
      <c r="V17" s="45" t="s">
        <v>203</v>
      </c>
    </row>
    <row r="18" customFormat="false" ht="22.35" hidden="false" customHeight="false" outlineLevel="0" collapsed="false">
      <c r="A18" s="34" t="s">
        <v>207</v>
      </c>
      <c r="B18" s="13" t="s">
        <v>153</v>
      </c>
      <c r="C18" s="9" t="s">
        <v>220</v>
      </c>
      <c r="D18" s="34" t="s">
        <v>150</v>
      </c>
      <c r="E18" s="39" t="n">
        <f aca="false">Inputs!$B$5</f>
        <v>2000</v>
      </c>
      <c r="F18" s="40" t="s">
        <v>201</v>
      </c>
      <c r="G18" s="41" t="n">
        <v>5.6</v>
      </c>
      <c r="H18" s="23" t="n">
        <v>12</v>
      </c>
      <c r="I18" s="31" t="n">
        <f aca="false">G18/H18</f>
        <v>0.466666666666667</v>
      </c>
      <c r="J18" s="9" t="s">
        <v>221</v>
      </c>
      <c r="K18" s="42" t="n">
        <v>0.22</v>
      </c>
      <c r="L18" s="32" t="n">
        <f aca="false">IF(F18="USD",Inputs!$B$7,1)</f>
        <v>1.38</v>
      </c>
      <c r="M18" s="26" t="n">
        <f aca="false">(I18+K18)*L18*(1+Inputs!$B$29)</f>
        <v>0.9476</v>
      </c>
      <c r="N18" s="26" t="n">
        <v>0</v>
      </c>
      <c r="O18" s="26" t="n">
        <f aca="false">$O$20/SUM($E$16:$E$18)</f>
        <v>0.279</v>
      </c>
      <c r="P18" s="43" t="n">
        <f aca="false">M18+N18+O18</f>
        <v>1.2266</v>
      </c>
      <c r="Q18" s="44" t="n">
        <f aca="false">P18*E18</f>
        <v>2453.2</v>
      </c>
      <c r="R18" s="26" t="n">
        <f aca="false">M18*Inputs!$B$30</f>
        <v>0.4738</v>
      </c>
      <c r="S18" s="43" t="n">
        <f aca="false">P18+R18</f>
        <v>1.7004</v>
      </c>
      <c r="T18" s="44" t="n">
        <f aca="false">S18*E18</f>
        <v>3400.8</v>
      </c>
      <c r="U18" s="26" t="n">
        <f aca="false">Inputs!$B$12-P18</f>
        <v>2.2134</v>
      </c>
      <c r="V18" s="45" t="s">
        <v>203</v>
      </c>
    </row>
    <row r="19" customFormat="false" ht="15" hidden="false" customHeight="false" outlineLevel="0" collapsed="false">
      <c r="A19" s="46" t="s">
        <v>211</v>
      </c>
      <c r="B19" s="47"/>
      <c r="C19" s="47"/>
      <c r="D19" s="47"/>
      <c r="E19" s="48" t="n">
        <f aca="false">SUM(E16:E18)</f>
        <v>6000</v>
      </c>
      <c r="F19" s="47"/>
      <c r="G19" s="47"/>
      <c r="H19" s="47"/>
      <c r="I19" s="47"/>
      <c r="J19" s="47"/>
      <c r="K19" s="47"/>
      <c r="L19" s="47"/>
      <c r="M19" s="47"/>
      <c r="N19" s="47"/>
      <c r="O19" s="47"/>
      <c r="P19" s="43" t="n">
        <f aca="false">Q19/E19</f>
        <v>1.23008833333333</v>
      </c>
      <c r="Q19" s="49" t="n">
        <f aca="false">SUM(Q16:Q18)</f>
        <v>7380.53</v>
      </c>
      <c r="R19" s="47"/>
      <c r="S19" s="43" t="n">
        <f aca="false">T19/E19</f>
        <v>1.7056325</v>
      </c>
      <c r="T19" s="49" t="n">
        <f aca="false">SUM(T16:T18)</f>
        <v>10233.795</v>
      </c>
      <c r="U19" s="43" t="n">
        <f aca="false">Inputs!$B$12-P19</f>
        <v>2.20991166666667</v>
      </c>
      <c r="V19" s="47"/>
    </row>
    <row r="20" customFormat="false" ht="15" hidden="false" customHeight="false" outlineLevel="0" collapsed="false">
      <c r="A20" s="2" t="s">
        <v>212</v>
      </c>
      <c r="O20" s="44" t="n">
        <f aca="false">Inputs!$B$15*Inputs!$B$7+Inputs!$B$16</f>
        <v>1674</v>
      </c>
      <c r="P20" s="2" t="s">
        <v>213</v>
      </c>
    </row>
    <row r="22" customFormat="false" ht="15" hidden="false" customHeight="false" outlineLevel="0" collapsed="false">
      <c r="A22" s="6" t="s">
        <v>222</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8" t="s">
        <v>223</v>
      </c>
      <c r="B23" s="38"/>
      <c r="C23" s="38"/>
      <c r="D23" s="38"/>
      <c r="E23" s="38"/>
      <c r="F23" s="38"/>
      <c r="G23" s="38"/>
      <c r="H23" s="38"/>
      <c r="I23" s="38"/>
      <c r="J23" s="38"/>
      <c r="K23" s="38"/>
      <c r="L23" s="38"/>
      <c r="M23" s="38"/>
      <c r="N23" s="38"/>
      <c r="O23" s="38"/>
      <c r="P23" s="38"/>
      <c r="Q23" s="38"/>
      <c r="R23" s="38"/>
      <c r="S23" s="38"/>
      <c r="T23" s="38"/>
      <c r="U23" s="38"/>
      <c r="V23" s="38"/>
    </row>
    <row r="24" customFormat="false" ht="54" hidden="false" customHeight="true" outlineLevel="0" collapsed="false">
      <c r="A24" s="7" t="s">
        <v>177</v>
      </c>
      <c r="B24" s="7" t="s">
        <v>178</v>
      </c>
      <c r="C24" s="7" t="s">
        <v>179</v>
      </c>
      <c r="D24" s="7" t="s">
        <v>180</v>
      </c>
      <c r="E24" s="7" t="s">
        <v>181</v>
      </c>
      <c r="F24" s="7" t="s">
        <v>182</v>
      </c>
      <c r="G24" s="7" t="s">
        <v>183</v>
      </c>
      <c r="H24" s="7" t="s">
        <v>184</v>
      </c>
      <c r="I24" s="7" t="s">
        <v>185</v>
      </c>
      <c r="J24" s="7" t="s">
        <v>186</v>
      </c>
      <c r="K24" s="7" t="s">
        <v>187</v>
      </c>
      <c r="L24" s="7" t="s">
        <v>188</v>
      </c>
      <c r="M24" s="7" t="s">
        <v>189</v>
      </c>
      <c r="N24" s="7" t="s">
        <v>190</v>
      </c>
      <c r="O24" s="7" t="s">
        <v>191</v>
      </c>
      <c r="P24" s="7" t="s">
        <v>192</v>
      </c>
      <c r="Q24" s="7" t="s">
        <v>193</v>
      </c>
      <c r="R24" s="7" t="s">
        <v>194</v>
      </c>
      <c r="S24" s="7" t="s">
        <v>195</v>
      </c>
      <c r="T24" s="7" t="s">
        <v>196</v>
      </c>
      <c r="U24" s="7" t="s">
        <v>197</v>
      </c>
      <c r="V24" s="7" t="s">
        <v>198</v>
      </c>
    </row>
    <row r="25" customFormat="false" ht="35.05" hidden="false" customHeight="false" outlineLevel="0" collapsed="false">
      <c r="A25" s="34" t="s">
        <v>199</v>
      </c>
      <c r="B25" s="13" t="s">
        <v>224</v>
      </c>
      <c r="C25" s="9" t="s">
        <v>225</v>
      </c>
      <c r="D25" s="34" t="s">
        <v>226</v>
      </c>
      <c r="E25" s="39" t="n">
        <f aca="false">Inputs!$B$5</f>
        <v>2000</v>
      </c>
      <c r="F25" s="40" t="s">
        <v>201</v>
      </c>
      <c r="G25" s="50" t="s">
        <v>227</v>
      </c>
      <c r="H25" s="23"/>
      <c r="I25" s="42" t="n">
        <v>0.4</v>
      </c>
      <c r="J25" s="9" t="s">
        <v>228</v>
      </c>
      <c r="K25" s="42" t="n">
        <v>0.04</v>
      </c>
      <c r="L25" s="32" t="n">
        <f aca="false">IF(F25="USD",Inputs!$B$7,1)</f>
        <v>1.38</v>
      </c>
      <c r="M25" s="26" t="n">
        <f aca="false">(I25+K25)*L25*(1+Inputs!$B$29)</f>
        <v>0.6072</v>
      </c>
      <c r="N25" s="26" t="n">
        <v>0</v>
      </c>
      <c r="O25" s="26" t="n">
        <f aca="false">$O$29/SUM($E$25:$E$27)</f>
        <v>0.413333333333333</v>
      </c>
      <c r="P25" s="43" t="n">
        <f aca="false">M25+N25+O25</f>
        <v>1.02053333333333</v>
      </c>
      <c r="Q25" s="44" t="n">
        <f aca="false">P25*E25</f>
        <v>2041.06666666667</v>
      </c>
      <c r="R25" s="26" t="n">
        <v>0</v>
      </c>
      <c r="S25" s="43" t="n">
        <f aca="false">P25+R25</f>
        <v>1.02053333333333</v>
      </c>
      <c r="T25" s="44" t="n">
        <f aca="false">S25*E25</f>
        <v>2041.06666666667</v>
      </c>
      <c r="U25" s="26" t="n">
        <f aca="false">Inputs!$B$12-P25</f>
        <v>2.41946666666667</v>
      </c>
      <c r="V25" s="45" t="s">
        <v>229</v>
      </c>
    </row>
    <row r="26" customFormat="false" ht="32.8" hidden="false" customHeight="false" outlineLevel="0" collapsed="false">
      <c r="A26" s="34" t="s">
        <v>204</v>
      </c>
      <c r="B26" s="13" t="s">
        <v>230</v>
      </c>
      <c r="C26" s="9" t="s">
        <v>231</v>
      </c>
      <c r="D26" s="34" t="s">
        <v>232</v>
      </c>
      <c r="E26" s="39" t="n">
        <f aca="false">Inputs!$B$5</f>
        <v>2000</v>
      </c>
      <c r="F26" s="40" t="s">
        <v>201</v>
      </c>
      <c r="G26" s="50" t="s">
        <v>227</v>
      </c>
      <c r="H26" s="23"/>
      <c r="I26" s="42" t="n">
        <v>0.4</v>
      </c>
      <c r="J26" s="9" t="s">
        <v>233</v>
      </c>
      <c r="K26" s="42" t="n">
        <v>0.04</v>
      </c>
      <c r="L26" s="32" t="n">
        <f aca="false">IF(F26="USD",Inputs!$B$7,1)</f>
        <v>1.38</v>
      </c>
      <c r="M26" s="26" t="n">
        <f aca="false">(I26+K26)*L26*(1+Inputs!$B$29)</f>
        <v>0.6072</v>
      </c>
      <c r="N26" s="26" t="n">
        <v>0</v>
      </c>
      <c r="O26" s="26" t="n">
        <f aca="false">$O$29/SUM($E$25:$E$27)</f>
        <v>0.413333333333333</v>
      </c>
      <c r="P26" s="43" t="n">
        <f aca="false">M26+N26+O26</f>
        <v>1.02053333333333</v>
      </c>
      <c r="Q26" s="44" t="n">
        <f aca="false">P26*E26</f>
        <v>2041.06666666667</v>
      </c>
      <c r="R26" s="26" t="n">
        <v>0</v>
      </c>
      <c r="S26" s="43" t="n">
        <f aca="false">P26+R26</f>
        <v>1.02053333333333</v>
      </c>
      <c r="T26" s="44" t="n">
        <f aca="false">S26*E26</f>
        <v>2041.06666666667</v>
      </c>
      <c r="U26" s="26" t="n">
        <f aca="false">Inputs!$B$12-P26</f>
        <v>2.41946666666667</v>
      </c>
      <c r="V26" s="45" t="s">
        <v>234</v>
      </c>
    </row>
    <row r="27" customFormat="false" ht="32.8" hidden="false" customHeight="false" outlineLevel="0" collapsed="false">
      <c r="A27" s="34" t="s">
        <v>207</v>
      </c>
      <c r="B27" s="13" t="s">
        <v>235</v>
      </c>
      <c r="C27" s="9" t="s">
        <v>236</v>
      </c>
      <c r="D27" s="34" t="s">
        <v>150</v>
      </c>
      <c r="E27" s="39" t="n">
        <f aca="false">Inputs!$B$5</f>
        <v>2000</v>
      </c>
      <c r="F27" s="40" t="s">
        <v>201</v>
      </c>
      <c r="G27" s="50" t="s">
        <v>227</v>
      </c>
      <c r="H27" s="23"/>
      <c r="I27" s="42" t="n">
        <v>0.42</v>
      </c>
      <c r="J27" s="9" t="s">
        <v>233</v>
      </c>
      <c r="K27" s="42" t="n">
        <v>0.04</v>
      </c>
      <c r="L27" s="32" t="n">
        <f aca="false">IF(F27="USD",Inputs!$B$7,1)</f>
        <v>1.38</v>
      </c>
      <c r="M27" s="26" t="n">
        <f aca="false">(I27+K27)*L27*(1+Inputs!$B$29)</f>
        <v>0.6348</v>
      </c>
      <c r="N27" s="26" t="n">
        <v>0</v>
      </c>
      <c r="O27" s="26" t="n">
        <f aca="false">$O$29/SUM($E$25:$E$27)</f>
        <v>0.413333333333333</v>
      </c>
      <c r="P27" s="43" t="n">
        <f aca="false">M27+N27+O27</f>
        <v>1.04813333333333</v>
      </c>
      <c r="Q27" s="44" t="n">
        <f aca="false">P27*E27</f>
        <v>2096.26666666667</v>
      </c>
      <c r="R27" s="26" t="n">
        <v>0</v>
      </c>
      <c r="S27" s="43" t="n">
        <f aca="false">P27+R27</f>
        <v>1.04813333333333</v>
      </c>
      <c r="T27" s="44" t="n">
        <f aca="false">S27*E27</f>
        <v>2096.26666666667</v>
      </c>
      <c r="U27" s="26" t="n">
        <f aca="false">Inputs!$B$12-P27</f>
        <v>2.39186666666667</v>
      </c>
      <c r="V27" s="45" t="s">
        <v>237</v>
      </c>
    </row>
    <row r="28" customFormat="false" ht="15" hidden="false" customHeight="false" outlineLevel="0" collapsed="false">
      <c r="A28" s="46" t="s">
        <v>211</v>
      </c>
      <c r="B28" s="47"/>
      <c r="C28" s="47"/>
      <c r="D28" s="47"/>
      <c r="E28" s="48" t="n">
        <f aca="false">SUM(E25:E27)</f>
        <v>6000</v>
      </c>
      <c r="F28" s="47"/>
      <c r="G28" s="47"/>
      <c r="H28" s="47"/>
      <c r="I28" s="47"/>
      <c r="J28" s="47"/>
      <c r="K28" s="47"/>
      <c r="L28" s="47"/>
      <c r="M28" s="47"/>
      <c r="N28" s="47"/>
      <c r="O28" s="47"/>
      <c r="P28" s="43" t="n">
        <f aca="false">Q28/E28</f>
        <v>1.02973333333333</v>
      </c>
      <c r="Q28" s="49" t="n">
        <f aca="false">SUM(Q25:Q27)</f>
        <v>6178.4</v>
      </c>
      <c r="R28" s="47"/>
      <c r="S28" s="43" t="n">
        <f aca="false">T28/E28</f>
        <v>1.02973333333333</v>
      </c>
      <c r="T28" s="49" t="n">
        <f aca="false">SUM(T25:T27)</f>
        <v>6178.4</v>
      </c>
      <c r="U28" s="43" t="n">
        <f aca="false">Inputs!$B$12-P28</f>
        <v>2.41026666666667</v>
      </c>
      <c r="V28" s="47"/>
    </row>
    <row r="29" customFormat="false" ht="15" hidden="false" customHeight="false" outlineLevel="0" collapsed="false">
      <c r="A29" s="2" t="s">
        <v>212</v>
      </c>
      <c r="O29" s="44" t="n">
        <f aca="false">Inputs!$B$18+Inputs!$B$26</f>
        <v>2480</v>
      </c>
      <c r="P29" s="2" t="s">
        <v>238</v>
      </c>
    </row>
    <row r="31" customFormat="false" ht="15" hidden="false" customHeight="false" outlineLevel="0" collapsed="false">
      <c r="A31" s="6" t="s">
        <v>239</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8" t="s">
        <v>240</v>
      </c>
      <c r="B32" s="38"/>
      <c r="C32" s="38"/>
      <c r="D32" s="38"/>
      <c r="E32" s="38"/>
      <c r="F32" s="38"/>
      <c r="G32" s="38"/>
      <c r="H32" s="38"/>
      <c r="I32" s="38"/>
      <c r="J32" s="38"/>
      <c r="K32" s="38"/>
      <c r="L32" s="38"/>
      <c r="M32" s="38"/>
      <c r="N32" s="38"/>
      <c r="O32" s="38"/>
      <c r="P32" s="38"/>
      <c r="Q32" s="38"/>
      <c r="R32" s="38"/>
      <c r="S32" s="38"/>
      <c r="T32" s="38"/>
      <c r="U32" s="38"/>
      <c r="V32" s="38"/>
    </row>
    <row r="33" customFormat="false" ht="54" hidden="false" customHeight="true" outlineLevel="0" collapsed="false">
      <c r="A33" s="7" t="s">
        <v>177</v>
      </c>
      <c r="B33" s="7" t="s">
        <v>178</v>
      </c>
      <c r="C33" s="7" t="s">
        <v>179</v>
      </c>
      <c r="D33" s="7" t="s">
        <v>180</v>
      </c>
      <c r="E33" s="7" t="s">
        <v>181</v>
      </c>
      <c r="F33" s="7" t="s">
        <v>182</v>
      </c>
      <c r="G33" s="7" t="s">
        <v>183</v>
      </c>
      <c r="H33" s="7" t="s">
        <v>184</v>
      </c>
      <c r="I33" s="7" t="s">
        <v>185</v>
      </c>
      <c r="J33" s="7" t="s">
        <v>186</v>
      </c>
      <c r="K33" s="7" t="s">
        <v>187</v>
      </c>
      <c r="L33" s="7" t="s">
        <v>188</v>
      </c>
      <c r="M33" s="7" t="s">
        <v>189</v>
      </c>
      <c r="N33" s="7" t="s">
        <v>190</v>
      </c>
      <c r="O33" s="7" t="s">
        <v>191</v>
      </c>
      <c r="P33" s="7" t="s">
        <v>192</v>
      </c>
      <c r="Q33" s="7" t="s">
        <v>193</v>
      </c>
      <c r="R33" s="7" t="s">
        <v>194</v>
      </c>
      <c r="S33" s="7" t="s">
        <v>195</v>
      </c>
      <c r="T33" s="7" t="s">
        <v>196</v>
      </c>
      <c r="U33" s="7" t="s">
        <v>197</v>
      </c>
      <c r="V33" s="7" t="s">
        <v>198</v>
      </c>
    </row>
    <row r="34" customFormat="false" ht="22.35" hidden="false" customHeight="false" outlineLevel="0" collapsed="false">
      <c r="A34" s="34" t="s">
        <v>199</v>
      </c>
      <c r="B34" s="13" t="s">
        <v>142</v>
      </c>
      <c r="C34" s="9" t="s">
        <v>241</v>
      </c>
      <c r="D34" s="34" t="s">
        <v>143</v>
      </c>
      <c r="E34" s="39" t="n">
        <f aca="false">Inputs!$B$5</f>
        <v>2000</v>
      </c>
      <c r="F34" s="40" t="s">
        <v>242</v>
      </c>
      <c r="G34" s="50" t="s">
        <v>227</v>
      </c>
      <c r="H34" s="23" t="n">
        <v>24</v>
      </c>
      <c r="I34" s="42" t="n">
        <v>0.96</v>
      </c>
      <c r="J34" s="9" t="s">
        <v>243</v>
      </c>
      <c r="K34" s="42" t="n">
        <v>0.25</v>
      </c>
      <c r="L34" s="32" t="n">
        <f aca="false">IF(F34="USD",Inputs!$B$7,1)</f>
        <v>1</v>
      </c>
      <c r="M34" s="26" t="n">
        <f aca="false">(I34+K34)*L34*(1+Inputs!$B$29)</f>
        <v>1.21</v>
      </c>
      <c r="N34" s="26" t="n">
        <v>0</v>
      </c>
      <c r="O34" s="26" t="n">
        <f aca="false">$O$38/SUM($E$34:$E$36)</f>
        <v>0.0666666666666667</v>
      </c>
      <c r="P34" s="43" t="n">
        <f aca="false">M34+N34+O34</f>
        <v>1.27666666666667</v>
      </c>
      <c r="Q34" s="44" t="n">
        <f aca="false">P34*E34</f>
        <v>2553.33333333333</v>
      </c>
      <c r="R34" s="26" t="n">
        <v>0</v>
      </c>
      <c r="S34" s="43" t="n">
        <f aca="false">P34+R34</f>
        <v>1.27666666666667</v>
      </c>
      <c r="T34" s="44" t="n">
        <f aca="false">S34*E34</f>
        <v>2553.33333333333</v>
      </c>
      <c r="U34" s="26" t="n">
        <f aca="false">Inputs!$B$12-P34</f>
        <v>2.16333333333333</v>
      </c>
      <c r="V34" s="45" t="s">
        <v>244</v>
      </c>
    </row>
    <row r="35" customFormat="false" ht="15" hidden="false" customHeight="false" outlineLevel="0" collapsed="false">
      <c r="A35" s="34" t="s">
        <v>245</v>
      </c>
      <c r="B35" s="13" t="s">
        <v>153</v>
      </c>
      <c r="C35" s="9" t="s">
        <v>246</v>
      </c>
      <c r="D35" s="34" t="s">
        <v>150</v>
      </c>
      <c r="E35" s="39" t="n">
        <f aca="false">Inputs!$B$5</f>
        <v>2000</v>
      </c>
      <c r="F35" s="40" t="s">
        <v>242</v>
      </c>
      <c r="G35" s="50" t="s">
        <v>227</v>
      </c>
      <c r="H35" s="23" t="n">
        <v>12</v>
      </c>
      <c r="I35" s="42" t="n">
        <v>0.99</v>
      </c>
      <c r="J35" s="9" t="s">
        <v>247</v>
      </c>
      <c r="K35" s="42" t="n">
        <v>0.25</v>
      </c>
      <c r="L35" s="32" t="n">
        <f aca="false">IF(F35="USD",Inputs!$B$7,1)</f>
        <v>1</v>
      </c>
      <c r="M35" s="26" t="n">
        <f aca="false">(I35+K35)*L35*(1+Inputs!$B$29)</f>
        <v>1.24</v>
      </c>
      <c r="N35" s="26" t="n">
        <v>0</v>
      </c>
      <c r="O35" s="26" t="n">
        <f aca="false">$O$38/SUM($E$34:$E$36)</f>
        <v>0.0666666666666667</v>
      </c>
      <c r="P35" s="43" t="n">
        <f aca="false">M35+N35+O35</f>
        <v>1.30666666666667</v>
      </c>
      <c r="Q35" s="44" t="n">
        <f aca="false">P35*E35</f>
        <v>2613.33333333333</v>
      </c>
      <c r="R35" s="26" t="n">
        <v>0</v>
      </c>
      <c r="S35" s="43" t="n">
        <f aca="false">P35+R35</f>
        <v>1.30666666666667</v>
      </c>
      <c r="T35" s="44" t="n">
        <f aca="false">S35*E35</f>
        <v>2613.33333333333</v>
      </c>
      <c r="U35" s="26" t="n">
        <f aca="false">Inputs!$B$12-P35</f>
        <v>2.13333333333333</v>
      </c>
      <c r="V35" s="45" t="s">
        <v>248</v>
      </c>
    </row>
    <row r="36" customFormat="false" ht="22.35" hidden="false" customHeight="false" outlineLevel="0" collapsed="false">
      <c r="A36" s="34" t="s">
        <v>207</v>
      </c>
      <c r="B36" s="13" t="s">
        <v>153</v>
      </c>
      <c r="C36" s="9" t="s">
        <v>246</v>
      </c>
      <c r="D36" s="34" t="s">
        <v>150</v>
      </c>
      <c r="E36" s="39" t="n">
        <f aca="false">Inputs!$B$5</f>
        <v>2000</v>
      </c>
      <c r="F36" s="40" t="s">
        <v>242</v>
      </c>
      <c r="G36" s="50" t="s">
        <v>227</v>
      </c>
      <c r="H36" s="23" t="n">
        <v>12</v>
      </c>
      <c r="I36" s="42" t="n">
        <v>0.99</v>
      </c>
      <c r="J36" s="9" t="s">
        <v>247</v>
      </c>
      <c r="K36" s="42" t="n">
        <v>0.25</v>
      </c>
      <c r="L36" s="32" t="n">
        <f aca="false">IF(F36="USD",Inputs!$B$7,1)</f>
        <v>1</v>
      </c>
      <c r="M36" s="26" t="n">
        <f aca="false">(I36+K36)*L36*(1+Inputs!$B$29)</f>
        <v>1.24</v>
      </c>
      <c r="N36" s="26" t="n">
        <v>0</v>
      </c>
      <c r="O36" s="26" t="n">
        <f aca="false">$O$38/SUM($E$34:$E$36)</f>
        <v>0.0666666666666667</v>
      </c>
      <c r="P36" s="43" t="n">
        <f aca="false">M36+N36+O36</f>
        <v>1.30666666666667</v>
      </c>
      <c r="Q36" s="44" t="n">
        <f aca="false">P36*E36</f>
        <v>2613.33333333333</v>
      </c>
      <c r="R36" s="26" t="n">
        <v>0</v>
      </c>
      <c r="S36" s="43" t="n">
        <f aca="false">P36+R36</f>
        <v>1.30666666666667</v>
      </c>
      <c r="T36" s="44" t="n">
        <f aca="false">S36*E36</f>
        <v>2613.33333333333</v>
      </c>
      <c r="U36" s="26" t="n">
        <f aca="false">Inputs!$B$12-P36</f>
        <v>2.13333333333333</v>
      </c>
      <c r="V36" s="45" t="s">
        <v>244</v>
      </c>
    </row>
    <row r="37" customFormat="false" ht="15" hidden="false" customHeight="false" outlineLevel="0" collapsed="false">
      <c r="A37" s="46" t="s">
        <v>211</v>
      </c>
      <c r="B37" s="47"/>
      <c r="C37" s="47"/>
      <c r="D37" s="47"/>
      <c r="E37" s="48" t="n">
        <f aca="false">SUM(E34:E36)</f>
        <v>6000</v>
      </c>
      <c r="F37" s="47"/>
      <c r="G37" s="47"/>
      <c r="H37" s="47"/>
      <c r="I37" s="47"/>
      <c r="J37" s="47"/>
      <c r="K37" s="47"/>
      <c r="L37" s="47"/>
      <c r="M37" s="47"/>
      <c r="N37" s="47"/>
      <c r="O37" s="47"/>
      <c r="P37" s="43" t="n">
        <f aca="false">Q37/E37</f>
        <v>1.29666666666667</v>
      </c>
      <c r="Q37" s="49" t="n">
        <f aca="false">SUM(Q34:Q36)</f>
        <v>7780</v>
      </c>
      <c r="R37" s="47"/>
      <c r="S37" s="43" t="n">
        <f aca="false">T37/E37</f>
        <v>1.29666666666667</v>
      </c>
      <c r="T37" s="49" t="n">
        <f aca="false">SUM(T34:T36)</f>
        <v>7780</v>
      </c>
      <c r="U37" s="43" t="n">
        <f aca="false">Inputs!$B$12-P37</f>
        <v>2.14333333333333</v>
      </c>
      <c r="V37" s="47"/>
    </row>
    <row r="38" customFormat="false" ht="15" hidden="false" customHeight="false" outlineLevel="0" collapsed="false">
      <c r="A38" s="2" t="s">
        <v>212</v>
      </c>
      <c r="O38" s="44" t="n">
        <f aca="false">Inputs!$B$17</f>
        <v>400</v>
      </c>
      <c r="P38" s="2" t="s">
        <v>249</v>
      </c>
    </row>
    <row r="40" customFormat="false" ht="15" hidden="false" customHeight="false" outlineLevel="0" collapsed="false">
      <c r="A40" s="6" t="s">
        <v>250</v>
      </c>
      <c r="B40" s="6"/>
      <c r="C40" s="6"/>
      <c r="D40" s="6"/>
      <c r="E40" s="6"/>
      <c r="F40" s="6"/>
      <c r="G40" s="6"/>
      <c r="H40" s="6"/>
      <c r="I40" s="6"/>
      <c r="J40" s="6"/>
      <c r="K40" s="6"/>
      <c r="L40" s="6"/>
      <c r="M40" s="6"/>
      <c r="N40" s="6"/>
      <c r="O40" s="6"/>
      <c r="P40" s="6"/>
      <c r="Q40" s="6"/>
      <c r="R40" s="6"/>
      <c r="S40" s="6"/>
      <c r="T40" s="6"/>
      <c r="U40" s="6"/>
      <c r="V40" s="6"/>
    </row>
    <row r="41" customFormat="false" ht="30" hidden="false" customHeight="true" outlineLevel="0" collapsed="false">
      <c r="A41" s="38" t="s">
        <v>251</v>
      </c>
      <c r="B41" s="38"/>
      <c r="C41" s="38"/>
      <c r="D41" s="38"/>
      <c r="E41" s="38"/>
      <c r="F41" s="38"/>
      <c r="G41" s="38"/>
      <c r="H41" s="38"/>
      <c r="I41" s="38"/>
      <c r="J41" s="38"/>
      <c r="K41" s="38"/>
      <c r="L41" s="38"/>
      <c r="M41" s="38"/>
      <c r="N41" s="38"/>
      <c r="O41" s="38"/>
      <c r="P41" s="38"/>
      <c r="Q41" s="38"/>
      <c r="R41" s="38"/>
      <c r="S41" s="38"/>
      <c r="T41" s="38"/>
      <c r="U41" s="38"/>
      <c r="V41" s="38"/>
    </row>
    <row r="42" customFormat="false" ht="54" hidden="false" customHeight="true" outlineLevel="0" collapsed="false">
      <c r="A42" s="7" t="s">
        <v>177</v>
      </c>
      <c r="B42" s="7" t="s">
        <v>178</v>
      </c>
      <c r="C42" s="7" t="s">
        <v>179</v>
      </c>
      <c r="D42" s="7" t="s">
        <v>180</v>
      </c>
      <c r="E42" s="7" t="s">
        <v>181</v>
      </c>
      <c r="F42" s="7" t="s">
        <v>182</v>
      </c>
      <c r="G42" s="7" t="s">
        <v>183</v>
      </c>
      <c r="H42" s="7" t="s">
        <v>184</v>
      </c>
      <c r="I42" s="7" t="s">
        <v>185</v>
      </c>
      <c r="J42" s="7" t="s">
        <v>186</v>
      </c>
      <c r="K42" s="7" t="s">
        <v>187</v>
      </c>
      <c r="L42" s="7" t="s">
        <v>188</v>
      </c>
      <c r="M42" s="7" t="s">
        <v>189</v>
      </c>
      <c r="N42" s="7" t="s">
        <v>190</v>
      </c>
      <c r="O42" s="7" t="s">
        <v>191</v>
      </c>
      <c r="P42" s="7" t="s">
        <v>192</v>
      </c>
      <c r="Q42" s="7" t="s">
        <v>193</v>
      </c>
      <c r="R42" s="7" t="s">
        <v>194</v>
      </c>
      <c r="S42" s="7" t="s">
        <v>195</v>
      </c>
      <c r="T42" s="7" t="s">
        <v>196</v>
      </c>
      <c r="U42" s="7" t="s">
        <v>197</v>
      </c>
      <c r="V42" s="7" t="s">
        <v>198</v>
      </c>
    </row>
    <row r="43" customFormat="false" ht="23.85" hidden="false" customHeight="false" outlineLevel="0" collapsed="false">
      <c r="A43" s="34" t="s">
        <v>199</v>
      </c>
      <c r="B43" s="13" t="s">
        <v>142</v>
      </c>
      <c r="C43" s="9" t="s">
        <v>252</v>
      </c>
      <c r="D43" s="34" t="s">
        <v>143</v>
      </c>
      <c r="E43" s="39" t="n">
        <f aca="false">Inputs!$B$5</f>
        <v>2000</v>
      </c>
      <c r="F43" s="40" t="s">
        <v>242</v>
      </c>
      <c r="G43" s="50" t="s">
        <v>227</v>
      </c>
      <c r="H43" s="23" t="n">
        <v>24</v>
      </c>
      <c r="I43" s="42" t="n">
        <v>1.67</v>
      </c>
      <c r="J43" s="9" t="s">
        <v>253</v>
      </c>
      <c r="K43" s="42" t="n">
        <v>0</v>
      </c>
      <c r="L43" s="32" t="n">
        <f aca="false">IF(F43="USD",Inputs!$B$7,1)</f>
        <v>1</v>
      </c>
      <c r="M43" s="26" t="n">
        <f aca="false">(I43+K43)*L43*(1+Inputs!$B$29)</f>
        <v>1.67</v>
      </c>
      <c r="N43" s="26" t="n">
        <v>0</v>
      </c>
      <c r="O43" s="26" t="n">
        <f aca="false">$O$47/SUM($E$43:$E$45)</f>
        <v>0.0666666666666667</v>
      </c>
      <c r="P43" s="43" t="n">
        <f aca="false">M43+N43+O43</f>
        <v>1.73666666666667</v>
      </c>
      <c r="Q43" s="44" t="n">
        <f aca="false">P43*E43</f>
        <v>3473.33333333333</v>
      </c>
      <c r="R43" s="26" t="n">
        <v>0</v>
      </c>
      <c r="S43" s="43" t="n">
        <f aca="false">P43+R43</f>
        <v>1.73666666666667</v>
      </c>
      <c r="T43" s="44" t="n">
        <f aca="false">S43*E43</f>
        <v>3473.33333333333</v>
      </c>
      <c r="U43" s="26" t="n">
        <f aca="false">Inputs!$B$12-P43</f>
        <v>1.70333333333333</v>
      </c>
      <c r="V43" s="45" t="s">
        <v>254</v>
      </c>
    </row>
    <row r="44" customFormat="false" ht="23.85" hidden="false" customHeight="false" outlineLevel="0" collapsed="false">
      <c r="A44" s="34" t="s">
        <v>255</v>
      </c>
      <c r="B44" s="13" t="s">
        <v>149</v>
      </c>
      <c r="C44" s="9" t="s">
        <v>256</v>
      </c>
      <c r="D44" s="34" t="s">
        <v>150</v>
      </c>
      <c r="E44" s="39" t="n">
        <f aca="false">Inputs!$B$5</f>
        <v>2000</v>
      </c>
      <c r="F44" s="40" t="s">
        <v>242</v>
      </c>
      <c r="G44" s="50" t="s">
        <v>227</v>
      </c>
      <c r="H44" s="23" t="n">
        <v>24</v>
      </c>
      <c r="I44" s="42" t="n">
        <v>2.35</v>
      </c>
      <c r="J44" s="9" t="s">
        <v>253</v>
      </c>
      <c r="K44" s="42" t="n">
        <v>0</v>
      </c>
      <c r="L44" s="32" t="n">
        <f aca="false">IF(F44="USD",Inputs!$B$7,1)</f>
        <v>1</v>
      </c>
      <c r="M44" s="26" t="n">
        <f aca="false">(I44+K44)*L44*(1+Inputs!$B$29)</f>
        <v>2.35</v>
      </c>
      <c r="N44" s="26" t="n">
        <v>0</v>
      </c>
      <c r="O44" s="26" t="n">
        <f aca="false">$O$47/SUM($E$43:$E$45)</f>
        <v>0.0666666666666667</v>
      </c>
      <c r="P44" s="43" t="n">
        <f aca="false">M44+N44+O44</f>
        <v>2.41666666666667</v>
      </c>
      <c r="Q44" s="44" t="n">
        <f aca="false">P44*E44</f>
        <v>4833.33333333333</v>
      </c>
      <c r="R44" s="26" t="n">
        <v>0</v>
      </c>
      <c r="S44" s="43" t="n">
        <f aca="false">P44+R44</f>
        <v>2.41666666666667</v>
      </c>
      <c r="T44" s="44" t="n">
        <f aca="false">S44*E44</f>
        <v>4833.33333333333</v>
      </c>
      <c r="U44" s="26" t="n">
        <f aca="false">Inputs!$B$12-P44</f>
        <v>1.02333333333333</v>
      </c>
      <c r="V44" s="45" t="s">
        <v>257</v>
      </c>
    </row>
    <row r="45" customFormat="false" ht="23.85" hidden="false" customHeight="false" outlineLevel="0" collapsed="false">
      <c r="A45" s="34" t="s">
        <v>207</v>
      </c>
      <c r="B45" s="13" t="s">
        <v>149</v>
      </c>
      <c r="C45" s="9" t="s">
        <v>256</v>
      </c>
      <c r="D45" s="34" t="s">
        <v>150</v>
      </c>
      <c r="E45" s="39" t="n">
        <f aca="false">Inputs!$B$5</f>
        <v>2000</v>
      </c>
      <c r="F45" s="40" t="s">
        <v>242</v>
      </c>
      <c r="G45" s="50" t="s">
        <v>227</v>
      </c>
      <c r="H45" s="23" t="n">
        <v>24</v>
      </c>
      <c r="I45" s="42" t="n">
        <v>2.35</v>
      </c>
      <c r="J45" s="9" t="s">
        <v>253</v>
      </c>
      <c r="K45" s="42" t="n">
        <v>0</v>
      </c>
      <c r="L45" s="32" t="n">
        <f aca="false">IF(F45="USD",Inputs!$B$7,1)</f>
        <v>1</v>
      </c>
      <c r="M45" s="26" t="n">
        <f aca="false">(I45+K45)*L45*(1+Inputs!$B$29)</f>
        <v>2.35</v>
      </c>
      <c r="N45" s="26" t="n">
        <v>0</v>
      </c>
      <c r="O45" s="26" t="n">
        <f aca="false">$O$47/SUM($E$43:$E$45)</f>
        <v>0.0666666666666667</v>
      </c>
      <c r="P45" s="43" t="n">
        <f aca="false">M45+N45+O45</f>
        <v>2.41666666666667</v>
      </c>
      <c r="Q45" s="44" t="n">
        <f aca="false">P45*E45</f>
        <v>4833.33333333333</v>
      </c>
      <c r="R45" s="26" t="n">
        <v>0</v>
      </c>
      <c r="S45" s="43" t="n">
        <f aca="false">P45+R45</f>
        <v>2.41666666666667</v>
      </c>
      <c r="T45" s="44" t="n">
        <f aca="false">S45*E45</f>
        <v>4833.33333333333</v>
      </c>
      <c r="U45" s="26" t="n">
        <f aca="false">Inputs!$B$12-P45</f>
        <v>1.02333333333333</v>
      </c>
      <c r="V45" s="45" t="s">
        <v>258</v>
      </c>
    </row>
    <row r="46" customFormat="false" ht="15" hidden="false" customHeight="false" outlineLevel="0" collapsed="false">
      <c r="A46" s="46" t="s">
        <v>211</v>
      </c>
      <c r="B46" s="47"/>
      <c r="C46" s="47"/>
      <c r="D46" s="47"/>
      <c r="E46" s="48" t="n">
        <f aca="false">SUM(E43:E45)</f>
        <v>6000</v>
      </c>
      <c r="F46" s="47"/>
      <c r="G46" s="47"/>
      <c r="H46" s="47"/>
      <c r="I46" s="47"/>
      <c r="J46" s="47"/>
      <c r="K46" s="47"/>
      <c r="L46" s="47"/>
      <c r="M46" s="47"/>
      <c r="N46" s="47"/>
      <c r="O46" s="47"/>
      <c r="P46" s="43" t="n">
        <f aca="false">Q46/E46</f>
        <v>2.19</v>
      </c>
      <c r="Q46" s="49" t="n">
        <f aca="false">SUM(Q43:Q45)</f>
        <v>13140</v>
      </c>
      <c r="R46" s="47"/>
      <c r="S46" s="43" t="n">
        <f aca="false">T46/E46</f>
        <v>2.19</v>
      </c>
      <c r="T46" s="49" t="n">
        <f aca="false">SUM(T43:T45)</f>
        <v>13140</v>
      </c>
      <c r="U46" s="43" t="n">
        <f aca="false">Inputs!$B$12-P46</f>
        <v>1.25</v>
      </c>
      <c r="V46" s="47"/>
    </row>
    <row r="47" customFormat="false" ht="15" hidden="false" customHeight="false" outlineLevel="0" collapsed="false">
      <c r="A47" s="2" t="s">
        <v>212</v>
      </c>
      <c r="O47" s="44" t="n">
        <f aca="false">Inputs!$B$17</f>
        <v>400</v>
      </c>
      <c r="P47" s="2" t="s">
        <v>249</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259</v>
      </c>
    </row>
    <row r="2" customFormat="false" ht="15" hidden="false" customHeight="false" outlineLevel="0" collapsed="false">
      <c r="A2" s="2" t="s">
        <v>260</v>
      </c>
    </row>
    <row r="4" customFormat="false" ht="15" hidden="false" customHeight="false" outlineLevel="0" collapsed="false">
      <c r="A4" s="6" t="s">
        <v>261</v>
      </c>
      <c r="B4" s="6"/>
      <c r="C4" s="6"/>
      <c r="D4" s="6"/>
      <c r="E4" s="6"/>
      <c r="F4" s="6"/>
      <c r="G4" s="6"/>
      <c r="H4" s="6"/>
      <c r="I4" s="6"/>
      <c r="J4" s="6"/>
      <c r="K4" s="6"/>
      <c r="L4" s="6"/>
      <c r="M4" s="6"/>
      <c r="N4" s="6"/>
      <c r="O4" s="6"/>
      <c r="P4" s="6"/>
      <c r="Q4" s="6"/>
      <c r="R4" s="6"/>
      <c r="S4" s="6"/>
      <c r="T4" s="6"/>
      <c r="U4" s="6"/>
      <c r="V4" s="6"/>
    </row>
    <row r="5" customFormat="false" ht="30" hidden="false" customHeight="true" outlineLevel="0" collapsed="false">
      <c r="A5" s="38" t="s">
        <v>262</v>
      </c>
      <c r="B5" s="38"/>
      <c r="C5" s="38"/>
      <c r="D5" s="38"/>
      <c r="E5" s="38"/>
      <c r="F5" s="38"/>
      <c r="G5" s="38"/>
      <c r="H5" s="38"/>
      <c r="I5" s="38"/>
      <c r="J5" s="38"/>
      <c r="K5" s="38"/>
      <c r="L5" s="38"/>
      <c r="M5" s="38"/>
      <c r="N5" s="38"/>
      <c r="O5" s="38"/>
      <c r="P5" s="38"/>
      <c r="Q5" s="38"/>
      <c r="R5" s="38"/>
      <c r="S5" s="38"/>
      <c r="T5" s="38"/>
      <c r="U5" s="38"/>
      <c r="V5" s="38"/>
    </row>
    <row r="6" customFormat="false" ht="54" hidden="false" customHeight="true" outlineLevel="0" collapsed="false">
      <c r="A6" s="7" t="s">
        <v>177</v>
      </c>
      <c r="B6" s="7" t="s">
        <v>178</v>
      </c>
      <c r="C6" s="7" t="s">
        <v>179</v>
      </c>
      <c r="D6" s="7" t="s">
        <v>180</v>
      </c>
      <c r="E6" s="7" t="s">
        <v>181</v>
      </c>
      <c r="F6" s="7" t="s">
        <v>182</v>
      </c>
      <c r="G6" s="7" t="s">
        <v>183</v>
      </c>
      <c r="H6" s="7" t="s">
        <v>184</v>
      </c>
      <c r="I6" s="7" t="s">
        <v>185</v>
      </c>
      <c r="J6" s="7" t="s">
        <v>186</v>
      </c>
      <c r="K6" s="7" t="s">
        <v>187</v>
      </c>
      <c r="L6" s="7" t="s">
        <v>188</v>
      </c>
      <c r="M6" s="7" t="s">
        <v>189</v>
      </c>
      <c r="N6" s="7" t="s">
        <v>190</v>
      </c>
      <c r="O6" s="7" t="s">
        <v>191</v>
      </c>
      <c r="P6" s="7" t="s">
        <v>192</v>
      </c>
      <c r="Q6" s="7" t="s">
        <v>193</v>
      </c>
      <c r="R6" s="7" t="s">
        <v>194</v>
      </c>
      <c r="S6" s="7" t="s">
        <v>195</v>
      </c>
      <c r="T6" s="7" t="s">
        <v>196</v>
      </c>
      <c r="U6" s="7" t="s">
        <v>197</v>
      </c>
      <c r="V6" s="7" t="s">
        <v>198</v>
      </c>
    </row>
    <row r="7" customFormat="false" ht="46.25" hidden="false" customHeight="false" outlineLevel="0" collapsed="false">
      <c r="A7" s="34" t="s">
        <v>199</v>
      </c>
      <c r="B7" s="13" t="s">
        <v>224</v>
      </c>
      <c r="C7" s="9" t="s">
        <v>263</v>
      </c>
      <c r="D7" s="34" t="s">
        <v>226</v>
      </c>
      <c r="E7" s="39" t="n">
        <f aca="false">Inputs!$B$5</f>
        <v>2000</v>
      </c>
      <c r="F7" s="40" t="s">
        <v>201</v>
      </c>
      <c r="G7" s="50" t="s">
        <v>227</v>
      </c>
      <c r="H7" s="23"/>
      <c r="I7" s="42" t="n">
        <v>0.46</v>
      </c>
      <c r="J7" s="9" t="s">
        <v>228</v>
      </c>
      <c r="K7" s="42" t="n">
        <v>0.04</v>
      </c>
      <c r="L7" s="32" t="n">
        <f aca="false">IF(F7="USD",Inputs!$B$7,1)</f>
        <v>1.38</v>
      </c>
      <c r="M7" s="26" t="n">
        <f aca="false">(I7+K7)*L7*(1+Inputs!$B$29)</f>
        <v>0.69</v>
      </c>
      <c r="N7" s="26" t="n">
        <v>0</v>
      </c>
      <c r="O7" s="26" t="n">
        <f aca="false">$O$11/SUM($E$7:$E$9)</f>
        <v>0.413333333333333</v>
      </c>
      <c r="P7" s="43" t="n">
        <f aca="false">M7+N7+O7</f>
        <v>1.10333333333333</v>
      </c>
      <c r="Q7" s="44" t="n">
        <f aca="false">P7*E7</f>
        <v>2206.66666666667</v>
      </c>
      <c r="R7" s="26" t="n">
        <v>0</v>
      </c>
      <c r="S7" s="43" t="n">
        <f aca="false">P7+R7</f>
        <v>1.10333333333333</v>
      </c>
      <c r="T7" s="44" t="n">
        <f aca="false">S7*E7</f>
        <v>2206.66666666667</v>
      </c>
      <c r="U7" s="26" t="n">
        <f aca="false">Inputs!$B$12-P7</f>
        <v>2.33666666666667</v>
      </c>
      <c r="V7" s="45" t="s">
        <v>229</v>
      </c>
    </row>
    <row r="8" customFormat="false" ht="46.25" hidden="false" customHeight="false" outlineLevel="0" collapsed="false">
      <c r="A8" s="34" t="s">
        <v>204</v>
      </c>
      <c r="B8" s="13" t="s">
        <v>230</v>
      </c>
      <c r="C8" s="9" t="s">
        <v>264</v>
      </c>
      <c r="D8" s="34" t="s">
        <v>232</v>
      </c>
      <c r="E8" s="39" t="n">
        <f aca="false">Inputs!$B$5</f>
        <v>2000</v>
      </c>
      <c r="F8" s="40" t="s">
        <v>201</v>
      </c>
      <c r="G8" s="50" t="s">
        <v>227</v>
      </c>
      <c r="H8" s="23"/>
      <c r="I8" s="42" t="n">
        <v>0.48</v>
      </c>
      <c r="J8" s="9" t="s">
        <v>233</v>
      </c>
      <c r="K8" s="42" t="n">
        <v>0.04</v>
      </c>
      <c r="L8" s="32" t="n">
        <f aca="false">IF(F8="USD",Inputs!$B$7,1)</f>
        <v>1.38</v>
      </c>
      <c r="M8" s="26" t="n">
        <f aca="false">(I8+K8)*L8*(1+Inputs!$B$29)</f>
        <v>0.7176</v>
      </c>
      <c r="N8" s="26" t="n">
        <v>0</v>
      </c>
      <c r="O8" s="26" t="n">
        <f aca="false">$O$11/SUM($E$7:$E$9)</f>
        <v>0.413333333333333</v>
      </c>
      <c r="P8" s="43" t="n">
        <f aca="false">M8+N8+O8</f>
        <v>1.13093333333333</v>
      </c>
      <c r="Q8" s="44" t="n">
        <f aca="false">P8*E8</f>
        <v>2261.86666666667</v>
      </c>
      <c r="R8" s="26" t="n">
        <v>0</v>
      </c>
      <c r="S8" s="43" t="n">
        <f aca="false">P8+R8</f>
        <v>1.13093333333333</v>
      </c>
      <c r="T8" s="44" t="n">
        <f aca="false">S8*E8</f>
        <v>2261.86666666667</v>
      </c>
      <c r="U8" s="26" t="n">
        <f aca="false">Inputs!$B$12-P8</f>
        <v>2.30906666666667</v>
      </c>
      <c r="V8" s="45" t="s">
        <v>234</v>
      </c>
    </row>
    <row r="9" customFormat="false" ht="46.25" hidden="false" customHeight="false" outlineLevel="0" collapsed="false">
      <c r="A9" s="34" t="s">
        <v>207</v>
      </c>
      <c r="B9" s="13" t="s">
        <v>235</v>
      </c>
      <c r="C9" s="9" t="s">
        <v>265</v>
      </c>
      <c r="D9" s="34" t="s">
        <v>150</v>
      </c>
      <c r="E9" s="39" t="n">
        <f aca="false">Inputs!$B$5</f>
        <v>2000</v>
      </c>
      <c r="F9" s="40" t="s">
        <v>201</v>
      </c>
      <c r="G9" s="50" t="s">
        <v>227</v>
      </c>
      <c r="H9" s="23"/>
      <c r="I9" s="42" t="n">
        <v>0.48</v>
      </c>
      <c r="J9" s="9" t="s">
        <v>233</v>
      </c>
      <c r="K9" s="42" t="n">
        <v>0.04</v>
      </c>
      <c r="L9" s="32" t="n">
        <f aca="false">IF(F9="USD",Inputs!$B$7,1)</f>
        <v>1.38</v>
      </c>
      <c r="M9" s="26" t="n">
        <f aca="false">(I9+K9)*L9*(1+Inputs!$B$29)</f>
        <v>0.7176</v>
      </c>
      <c r="N9" s="26" t="n">
        <v>0</v>
      </c>
      <c r="O9" s="26" t="n">
        <f aca="false">$O$11/SUM($E$7:$E$9)</f>
        <v>0.413333333333333</v>
      </c>
      <c r="P9" s="43" t="n">
        <f aca="false">M9+N9+O9</f>
        <v>1.13093333333333</v>
      </c>
      <c r="Q9" s="44" t="n">
        <f aca="false">P9*E9</f>
        <v>2261.86666666667</v>
      </c>
      <c r="R9" s="26" t="n">
        <v>0</v>
      </c>
      <c r="S9" s="43" t="n">
        <f aca="false">P9+R9</f>
        <v>1.13093333333333</v>
      </c>
      <c r="T9" s="44" t="n">
        <f aca="false">S9*E9</f>
        <v>2261.86666666667</v>
      </c>
      <c r="U9" s="26" t="n">
        <f aca="false">Inputs!$B$12-P9</f>
        <v>2.30906666666667</v>
      </c>
      <c r="V9" s="45" t="s">
        <v>237</v>
      </c>
    </row>
    <row r="10" customFormat="false" ht="15" hidden="false" customHeight="false" outlineLevel="0" collapsed="false">
      <c r="A10" s="46" t="s">
        <v>211</v>
      </c>
      <c r="B10" s="47"/>
      <c r="C10" s="47"/>
      <c r="D10" s="47"/>
      <c r="E10" s="48" t="n">
        <f aca="false">SUM(E7:E9)</f>
        <v>6000</v>
      </c>
      <c r="F10" s="47"/>
      <c r="G10" s="47"/>
      <c r="H10" s="47"/>
      <c r="I10" s="47"/>
      <c r="J10" s="47"/>
      <c r="K10" s="47"/>
      <c r="L10" s="47"/>
      <c r="M10" s="47"/>
      <c r="N10" s="47"/>
      <c r="O10" s="47"/>
      <c r="P10" s="43" t="n">
        <f aca="false">Q10/E10</f>
        <v>1.12173333333333</v>
      </c>
      <c r="Q10" s="49" t="n">
        <f aca="false">SUM(Q7:Q9)</f>
        <v>6730.4</v>
      </c>
      <c r="R10" s="47"/>
      <c r="S10" s="43" t="n">
        <f aca="false">T10/E10</f>
        <v>1.12173333333333</v>
      </c>
      <c r="T10" s="49" t="n">
        <f aca="false">SUM(T7:T9)</f>
        <v>6730.4</v>
      </c>
      <c r="U10" s="43" t="n">
        <f aca="false">Inputs!$B$12-P10</f>
        <v>2.31826666666667</v>
      </c>
      <c r="V10" s="47"/>
    </row>
    <row r="11" customFormat="false" ht="15" hidden="false" customHeight="false" outlineLevel="0" collapsed="false">
      <c r="A11" s="2" t="s">
        <v>212</v>
      </c>
      <c r="O11" s="44" t="n">
        <f aca="false">Inputs!$B$18+Inputs!$B$26</f>
        <v>2480</v>
      </c>
      <c r="P11" s="2" t="s">
        <v>238</v>
      </c>
    </row>
    <row r="13" customFormat="false" ht="15" hidden="false" customHeight="false" outlineLevel="0" collapsed="false">
      <c r="A13" s="6" t="s">
        <v>266</v>
      </c>
      <c r="B13" s="6"/>
      <c r="C13" s="6"/>
      <c r="D13" s="6"/>
      <c r="E13" s="6"/>
      <c r="F13" s="6"/>
      <c r="G13" s="6"/>
      <c r="H13" s="6"/>
      <c r="I13" s="6"/>
      <c r="J13" s="6"/>
      <c r="K13" s="6"/>
      <c r="L13" s="6"/>
      <c r="M13" s="6"/>
      <c r="N13" s="6"/>
      <c r="O13" s="6"/>
      <c r="P13" s="6"/>
      <c r="Q13" s="6"/>
      <c r="R13" s="6"/>
      <c r="S13" s="6"/>
      <c r="T13" s="6"/>
      <c r="U13" s="6"/>
      <c r="V13" s="6"/>
    </row>
    <row r="14" customFormat="false" ht="30" hidden="false" customHeight="true" outlineLevel="0" collapsed="false">
      <c r="A14" s="38" t="s">
        <v>267</v>
      </c>
      <c r="B14" s="38"/>
      <c r="C14" s="38"/>
      <c r="D14" s="38"/>
      <c r="E14" s="38"/>
      <c r="F14" s="38"/>
      <c r="G14" s="38"/>
      <c r="H14" s="38"/>
      <c r="I14" s="38"/>
      <c r="J14" s="38"/>
      <c r="K14" s="38"/>
      <c r="L14" s="38"/>
      <c r="M14" s="38"/>
      <c r="N14" s="38"/>
      <c r="O14" s="38"/>
      <c r="P14" s="38"/>
      <c r="Q14" s="38"/>
      <c r="R14" s="38"/>
      <c r="S14" s="38"/>
      <c r="T14" s="38"/>
      <c r="U14" s="38"/>
      <c r="V14" s="38"/>
    </row>
    <row r="15" customFormat="false" ht="54" hidden="false" customHeight="true" outlineLevel="0" collapsed="false">
      <c r="A15" s="7" t="s">
        <v>177</v>
      </c>
      <c r="B15" s="7" t="s">
        <v>178</v>
      </c>
      <c r="C15" s="7" t="s">
        <v>179</v>
      </c>
      <c r="D15" s="7" t="s">
        <v>180</v>
      </c>
      <c r="E15" s="7" t="s">
        <v>181</v>
      </c>
      <c r="F15" s="7" t="s">
        <v>182</v>
      </c>
      <c r="G15" s="7" t="s">
        <v>183</v>
      </c>
      <c r="H15" s="7" t="s">
        <v>184</v>
      </c>
      <c r="I15" s="7" t="s">
        <v>185</v>
      </c>
      <c r="J15" s="7" t="s">
        <v>186</v>
      </c>
      <c r="K15" s="7" t="s">
        <v>187</v>
      </c>
      <c r="L15" s="7" t="s">
        <v>188</v>
      </c>
      <c r="M15" s="7" t="s">
        <v>189</v>
      </c>
      <c r="N15" s="7" t="s">
        <v>190</v>
      </c>
      <c r="O15" s="7" t="s">
        <v>191</v>
      </c>
      <c r="P15" s="7" t="s">
        <v>192</v>
      </c>
      <c r="Q15" s="7" t="s">
        <v>193</v>
      </c>
      <c r="R15" s="7" t="s">
        <v>194</v>
      </c>
      <c r="S15" s="7" t="s">
        <v>195</v>
      </c>
      <c r="T15" s="7" t="s">
        <v>196</v>
      </c>
      <c r="U15" s="7" t="s">
        <v>197</v>
      </c>
      <c r="V15" s="7" t="s">
        <v>198</v>
      </c>
    </row>
    <row r="16" customFormat="false" ht="23.85" hidden="false" customHeight="false" outlineLevel="0" collapsed="false">
      <c r="A16" s="34" t="s">
        <v>199</v>
      </c>
      <c r="B16" s="13" t="s">
        <v>142</v>
      </c>
      <c r="C16" s="9" t="s">
        <v>200</v>
      </c>
      <c r="D16" s="34" t="s">
        <v>143</v>
      </c>
      <c r="E16" s="39" t="n">
        <f aca="false">Inputs!$B$5</f>
        <v>2000</v>
      </c>
      <c r="F16" s="40" t="s">
        <v>201</v>
      </c>
      <c r="G16" s="41" t="n">
        <v>11.45</v>
      </c>
      <c r="H16" s="23" t="n">
        <v>24</v>
      </c>
      <c r="I16" s="31" t="n">
        <f aca="false">G16/H16</f>
        <v>0.477083333333333</v>
      </c>
      <c r="J16" s="9" t="s">
        <v>202</v>
      </c>
      <c r="K16" s="42" t="n">
        <v>0.14</v>
      </c>
      <c r="L16" s="32" t="n">
        <f aca="false">IF(F16="USD",Inputs!$B$7,1)</f>
        <v>1.38</v>
      </c>
      <c r="M16" s="26" t="n">
        <f aca="false">(I16+K16)*L16*(1+Inputs!$B$29)</f>
        <v>0.851575</v>
      </c>
      <c r="N16" s="51" t="n">
        <f aca="false">Inputs!$B$33</f>
        <v>0.45</v>
      </c>
      <c r="O16" s="26" t="n">
        <f aca="false">$O$20/SUM($E$16:$E$18)</f>
        <v>0.654</v>
      </c>
      <c r="P16" s="43" t="n">
        <f aca="false">M16+N16+O16</f>
        <v>1.955575</v>
      </c>
      <c r="Q16" s="44" t="n">
        <f aca="false">P16*E16</f>
        <v>3911.15</v>
      </c>
      <c r="R16" s="26" t="n">
        <f aca="false">M16*Inputs!$B$30</f>
        <v>0.4257875</v>
      </c>
      <c r="S16" s="43" t="n">
        <f aca="false">P16+R16</f>
        <v>2.3813625</v>
      </c>
      <c r="T16" s="44" t="n">
        <f aca="false">S16*E16</f>
        <v>4762.725</v>
      </c>
      <c r="U16" s="26" t="n">
        <f aca="false">Inputs!$B$12-P16</f>
        <v>1.484425</v>
      </c>
      <c r="V16" s="45" t="s">
        <v>268</v>
      </c>
    </row>
    <row r="17" customFormat="false" ht="22.35" hidden="false" customHeight="false" outlineLevel="0" collapsed="false">
      <c r="A17" s="34" t="s">
        <v>204</v>
      </c>
      <c r="B17" s="13" t="s">
        <v>145</v>
      </c>
      <c r="C17" s="9" t="s">
        <v>205</v>
      </c>
      <c r="D17" s="34" t="s">
        <v>146</v>
      </c>
      <c r="E17" s="39" t="n">
        <f aca="false">Inputs!$B$5</f>
        <v>2000</v>
      </c>
      <c r="F17" s="40" t="s">
        <v>201</v>
      </c>
      <c r="G17" s="41" t="n">
        <v>6.07</v>
      </c>
      <c r="H17" s="23" t="n">
        <v>12</v>
      </c>
      <c r="I17" s="31" t="n">
        <f aca="false">G17/H17</f>
        <v>0.505833333333333</v>
      </c>
      <c r="J17" s="9" t="s">
        <v>206</v>
      </c>
      <c r="K17" s="42" t="n">
        <v>0.11</v>
      </c>
      <c r="L17" s="32" t="n">
        <f aca="false">IF(F17="USD",Inputs!$B$7,1)</f>
        <v>1.38</v>
      </c>
      <c r="M17" s="26" t="n">
        <f aca="false">(I17+K17)*L17*(1+Inputs!$B$29)</f>
        <v>0.84985</v>
      </c>
      <c r="N17" s="51" t="n">
        <f aca="false">Inputs!$B$33</f>
        <v>0.45</v>
      </c>
      <c r="O17" s="26" t="n">
        <f aca="false">$O$20/SUM($E$16:$E$18)</f>
        <v>0.654</v>
      </c>
      <c r="P17" s="43" t="n">
        <f aca="false">M17+N17+O17</f>
        <v>1.95385</v>
      </c>
      <c r="Q17" s="44" t="n">
        <f aca="false">P17*E17</f>
        <v>3907.7</v>
      </c>
      <c r="R17" s="26" t="n">
        <f aca="false">M17*Inputs!$B$30</f>
        <v>0.424925</v>
      </c>
      <c r="S17" s="43" t="n">
        <f aca="false">P17+R17</f>
        <v>2.378775</v>
      </c>
      <c r="T17" s="44" t="n">
        <f aca="false">S17*E17</f>
        <v>4757.55</v>
      </c>
      <c r="U17" s="26" t="n">
        <f aca="false">Inputs!$B$12-P17</f>
        <v>1.48615</v>
      </c>
      <c r="V17" s="45" t="s">
        <v>268</v>
      </c>
    </row>
    <row r="18" customFormat="false" ht="35.05" hidden="false" customHeight="false" outlineLevel="0" collapsed="false">
      <c r="A18" s="34" t="s">
        <v>207</v>
      </c>
      <c r="B18" s="13" t="s">
        <v>153</v>
      </c>
      <c r="C18" s="9" t="s">
        <v>208</v>
      </c>
      <c r="D18" s="34" t="s">
        <v>150</v>
      </c>
      <c r="E18" s="39" t="n">
        <f aca="false">Inputs!$B$5</f>
        <v>2000</v>
      </c>
      <c r="F18" s="40" t="s">
        <v>201</v>
      </c>
      <c r="G18" s="41" t="n">
        <v>5.24</v>
      </c>
      <c r="H18" s="23" t="n">
        <v>12</v>
      </c>
      <c r="I18" s="31" t="n">
        <f aca="false">G18/H18</f>
        <v>0.436666666666667</v>
      </c>
      <c r="J18" s="9" t="s">
        <v>209</v>
      </c>
      <c r="K18" s="42" t="n">
        <v>0.15</v>
      </c>
      <c r="L18" s="32" t="n">
        <f aca="false">IF(F18="USD",Inputs!$B$7,1)</f>
        <v>1.38</v>
      </c>
      <c r="M18" s="26" t="n">
        <f aca="false">(I18+K18)*L18*(1+Inputs!$B$29)</f>
        <v>0.8096</v>
      </c>
      <c r="N18" s="51" t="n">
        <f aca="false">Inputs!$B$33</f>
        <v>0.45</v>
      </c>
      <c r="O18" s="26" t="n">
        <f aca="false">$O$20/SUM($E$16:$E$18)</f>
        <v>0.654</v>
      </c>
      <c r="P18" s="43" t="n">
        <f aca="false">M18+N18+O18</f>
        <v>1.9136</v>
      </c>
      <c r="Q18" s="44" t="n">
        <f aca="false">P18*E18</f>
        <v>3827.2</v>
      </c>
      <c r="R18" s="26" t="n">
        <f aca="false">M18*Inputs!$B$30</f>
        <v>0.4048</v>
      </c>
      <c r="S18" s="43" t="n">
        <f aca="false">P18+R18</f>
        <v>2.3184</v>
      </c>
      <c r="T18" s="44" t="n">
        <f aca="false">S18*E18</f>
        <v>4636.8</v>
      </c>
      <c r="U18" s="26" t="n">
        <f aca="false">Inputs!$B$12-P18</f>
        <v>1.5264</v>
      </c>
      <c r="V18" s="45" t="s">
        <v>268</v>
      </c>
    </row>
    <row r="19" customFormat="false" ht="15" hidden="false" customHeight="false" outlineLevel="0" collapsed="false">
      <c r="A19" s="46" t="s">
        <v>211</v>
      </c>
      <c r="B19" s="47"/>
      <c r="C19" s="47"/>
      <c r="D19" s="47"/>
      <c r="E19" s="48" t="n">
        <f aca="false">SUM(E16:E18)</f>
        <v>6000</v>
      </c>
      <c r="F19" s="47"/>
      <c r="G19" s="47"/>
      <c r="H19" s="47"/>
      <c r="I19" s="47"/>
      <c r="J19" s="47"/>
      <c r="K19" s="47"/>
      <c r="L19" s="47"/>
      <c r="M19" s="47"/>
      <c r="N19" s="47"/>
      <c r="O19" s="47"/>
      <c r="P19" s="43" t="n">
        <f aca="false">Q19/E19</f>
        <v>1.94100833333333</v>
      </c>
      <c r="Q19" s="49" t="n">
        <f aca="false">SUM(Q16:Q18)</f>
        <v>11646.05</v>
      </c>
      <c r="R19" s="47"/>
      <c r="S19" s="43" t="n">
        <f aca="false">T19/E19</f>
        <v>2.3595125</v>
      </c>
      <c r="T19" s="49" t="n">
        <f aca="false">SUM(T16:T18)</f>
        <v>14157.075</v>
      </c>
      <c r="U19" s="43" t="n">
        <f aca="false">Inputs!$B$12-P19</f>
        <v>1.49899166666667</v>
      </c>
      <c r="V19" s="47"/>
    </row>
    <row r="20" customFormat="false" ht="15" hidden="false" customHeight="false" outlineLevel="0" collapsed="false">
      <c r="A20" s="2" t="s">
        <v>212</v>
      </c>
      <c r="O20" s="44" t="n">
        <f aca="false">Inputs!$B$15*Inputs!$B$7+Inputs!$B$16+Inputs!$B$34*Inputs!$B$6+Inputs!$B$35</f>
        <v>3924</v>
      </c>
      <c r="P20" s="2" t="s">
        <v>269</v>
      </c>
    </row>
    <row r="22" customFormat="false" ht="15" hidden="false" customHeight="false" outlineLevel="0" collapsed="false">
      <c r="A22" s="6" t="s">
        <v>270</v>
      </c>
      <c r="B22" s="6"/>
      <c r="C22" s="6"/>
      <c r="D22" s="6"/>
      <c r="E22" s="6"/>
      <c r="F22" s="6"/>
      <c r="G22" s="6"/>
      <c r="H22" s="6"/>
      <c r="I22" s="6"/>
      <c r="J22" s="6"/>
      <c r="K22" s="6"/>
      <c r="L22" s="6"/>
      <c r="M22" s="6"/>
      <c r="N22" s="6"/>
      <c r="O22" s="6"/>
      <c r="P22" s="6"/>
      <c r="Q22" s="6"/>
      <c r="R22" s="6"/>
      <c r="S22" s="6"/>
      <c r="T22" s="6"/>
      <c r="U22" s="6"/>
      <c r="V22" s="6"/>
    </row>
    <row r="23" customFormat="false" ht="30" hidden="false" customHeight="true" outlineLevel="0" collapsed="false">
      <c r="A23" s="38" t="s">
        <v>271</v>
      </c>
      <c r="B23" s="38"/>
      <c r="C23" s="38"/>
      <c r="D23" s="38"/>
      <c r="E23" s="38"/>
      <c r="F23" s="38"/>
      <c r="G23" s="38"/>
      <c r="H23" s="38"/>
      <c r="I23" s="38"/>
      <c r="J23" s="38"/>
      <c r="K23" s="38"/>
      <c r="L23" s="38"/>
      <c r="M23" s="38"/>
      <c r="N23" s="38"/>
      <c r="O23" s="38"/>
      <c r="P23" s="38"/>
      <c r="Q23" s="38"/>
      <c r="R23" s="38"/>
      <c r="S23" s="38"/>
      <c r="T23" s="38"/>
      <c r="U23" s="38"/>
      <c r="V23" s="38"/>
    </row>
    <row r="24" customFormat="false" ht="54" hidden="false" customHeight="true" outlineLevel="0" collapsed="false">
      <c r="A24" s="7" t="s">
        <v>177</v>
      </c>
      <c r="B24" s="7" t="s">
        <v>178</v>
      </c>
      <c r="C24" s="7" t="s">
        <v>179</v>
      </c>
      <c r="D24" s="7" t="s">
        <v>180</v>
      </c>
      <c r="E24" s="7" t="s">
        <v>181</v>
      </c>
      <c r="F24" s="7" t="s">
        <v>182</v>
      </c>
      <c r="G24" s="7" t="s">
        <v>183</v>
      </c>
      <c r="H24" s="7" t="s">
        <v>184</v>
      </c>
      <c r="I24" s="7" t="s">
        <v>185</v>
      </c>
      <c r="J24" s="7" t="s">
        <v>186</v>
      </c>
      <c r="K24" s="7" t="s">
        <v>187</v>
      </c>
      <c r="L24" s="7" t="s">
        <v>188</v>
      </c>
      <c r="M24" s="7" t="s">
        <v>189</v>
      </c>
      <c r="N24" s="7" t="s">
        <v>190</v>
      </c>
      <c r="O24" s="7" t="s">
        <v>191</v>
      </c>
      <c r="P24" s="7" t="s">
        <v>192</v>
      </c>
      <c r="Q24" s="7" t="s">
        <v>193</v>
      </c>
      <c r="R24" s="7" t="s">
        <v>194</v>
      </c>
      <c r="S24" s="7" t="s">
        <v>195</v>
      </c>
      <c r="T24" s="7" t="s">
        <v>196</v>
      </c>
      <c r="U24" s="7" t="s">
        <v>197</v>
      </c>
      <c r="V24" s="7" t="s">
        <v>198</v>
      </c>
    </row>
    <row r="25" customFormat="false" ht="22.35" hidden="false" customHeight="false" outlineLevel="0" collapsed="false">
      <c r="A25" s="34" t="s">
        <v>199</v>
      </c>
      <c r="B25" s="13" t="s">
        <v>142</v>
      </c>
      <c r="C25" s="9" t="s">
        <v>216</v>
      </c>
      <c r="D25" s="34" t="s">
        <v>143</v>
      </c>
      <c r="E25" s="39" t="n">
        <f aca="false">Inputs!$B$5</f>
        <v>2000</v>
      </c>
      <c r="F25" s="40" t="s">
        <v>201</v>
      </c>
      <c r="G25" s="41" t="n">
        <v>12.15</v>
      </c>
      <c r="H25" s="23" t="n">
        <v>24</v>
      </c>
      <c r="I25" s="31" t="n">
        <f aca="false">G25/H25</f>
        <v>0.50625</v>
      </c>
      <c r="J25" s="9" t="s">
        <v>217</v>
      </c>
      <c r="K25" s="42" t="n">
        <v>0.1136</v>
      </c>
      <c r="L25" s="32" t="n">
        <f aca="false">IF(F25="USD",Inputs!$B$7,1)</f>
        <v>1.38</v>
      </c>
      <c r="M25" s="26" t="n">
        <f aca="false">(I25+K25)*L25*(1+Inputs!$B$29)</f>
        <v>0.855393</v>
      </c>
      <c r="N25" s="51" t="n">
        <f aca="false">Inputs!$B$33</f>
        <v>0.45</v>
      </c>
      <c r="O25" s="26" t="n">
        <f aca="false">$O$29/SUM($E$25:$E$27)</f>
        <v>0.654</v>
      </c>
      <c r="P25" s="43" t="n">
        <f aca="false">M25+N25+O25</f>
        <v>1.959393</v>
      </c>
      <c r="Q25" s="44" t="n">
        <f aca="false">P25*E25</f>
        <v>3918.786</v>
      </c>
      <c r="R25" s="26" t="n">
        <f aca="false">M25*Inputs!$B$30</f>
        <v>0.4276965</v>
      </c>
      <c r="S25" s="43" t="n">
        <f aca="false">P25+R25</f>
        <v>2.3870895</v>
      </c>
      <c r="T25" s="44" t="n">
        <f aca="false">S25*E25</f>
        <v>4774.179</v>
      </c>
      <c r="U25" s="26" t="n">
        <f aca="false">Inputs!$B$12-P25</f>
        <v>1.480607</v>
      </c>
      <c r="V25" s="45" t="s">
        <v>268</v>
      </c>
    </row>
    <row r="26" customFormat="false" ht="22.35" hidden="false" customHeight="false" outlineLevel="0" collapsed="false">
      <c r="A26" s="34" t="s">
        <v>204</v>
      </c>
      <c r="B26" s="13" t="s">
        <v>145</v>
      </c>
      <c r="C26" s="9" t="s">
        <v>218</v>
      </c>
      <c r="D26" s="34" t="s">
        <v>146</v>
      </c>
      <c r="E26" s="39" t="n">
        <f aca="false">Inputs!$B$5</f>
        <v>2000</v>
      </c>
      <c r="F26" s="40" t="s">
        <v>201</v>
      </c>
      <c r="G26" s="41" t="n">
        <v>7.4</v>
      </c>
      <c r="H26" s="23" t="n">
        <v>12</v>
      </c>
      <c r="I26" s="31" t="n">
        <f aca="false">G26/H26</f>
        <v>0.616666666666667</v>
      </c>
      <c r="J26" s="9" t="s">
        <v>219</v>
      </c>
      <c r="K26" s="42" t="n">
        <v>0.1444</v>
      </c>
      <c r="L26" s="32" t="n">
        <f aca="false">IF(F26="USD",Inputs!$B$7,1)</f>
        <v>1.38</v>
      </c>
      <c r="M26" s="26" t="n">
        <f aca="false">(I26+K26)*L26*(1+Inputs!$B$29)</f>
        <v>1.050272</v>
      </c>
      <c r="N26" s="51" t="n">
        <f aca="false">Inputs!$B$33</f>
        <v>0.45</v>
      </c>
      <c r="O26" s="26" t="n">
        <f aca="false">$O$29/SUM($E$25:$E$27)</f>
        <v>0.654</v>
      </c>
      <c r="P26" s="43" t="n">
        <f aca="false">M26+N26+O26</f>
        <v>2.154272</v>
      </c>
      <c r="Q26" s="44" t="n">
        <f aca="false">P26*E26</f>
        <v>4308.544</v>
      </c>
      <c r="R26" s="26" t="n">
        <f aca="false">M26*Inputs!$B$30</f>
        <v>0.525136</v>
      </c>
      <c r="S26" s="43" t="n">
        <f aca="false">P26+R26</f>
        <v>2.679408</v>
      </c>
      <c r="T26" s="44" t="n">
        <f aca="false">S26*E26</f>
        <v>5358.816</v>
      </c>
      <c r="U26" s="26" t="n">
        <f aca="false">Inputs!$B$12-P26</f>
        <v>1.285728</v>
      </c>
      <c r="V26" s="45" t="s">
        <v>268</v>
      </c>
    </row>
    <row r="27" customFormat="false" ht="22.35" hidden="false" customHeight="false" outlineLevel="0" collapsed="false">
      <c r="A27" s="34" t="s">
        <v>207</v>
      </c>
      <c r="B27" s="13" t="s">
        <v>153</v>
      </c>
      <c r="C27" s="9" t="s">
        <v>220</v>
      </c>
      <c r="D27" s="34" t="s">
        <v>150</v>
      </c>
      <c r="E27" s="39" t="n">
        <f aca="false">Inputs!$B$5</f>
        <v>2000</v>
      </c>
      <c r="F27" s="40" t="s">
        <v>201</v>
      </c>
      <c r="G27" s="41" t="n">
        <v>5.6</v>
      </c>
      <c r="H27" s="23" t="n">
        <v>12</v>
      </c>
      <c r="I27" s="31" t="n">
        <f aca="false">G27/H27</f>
        <v>0.466666666666667</v>
      </c>
      <c r="J27" s="9" t="s">
        <v>221</v>
      </c>
      <c r="K27" s="42" t="n">
        <v>0.22</v>
      </c>
      <c r="L27" s="32" t="n">
        <f aca="false">IF(F27="USD",Inputs!$B$7,1)</f>
        <v>1.38</v>
      </c>
      <c r="M27" s="26" t="n">
        <f aca="false">(I27+K27)*L27*(1+Inputs!$B$29)</f>
        <v>0.9476</v>
      </c>
      <c r="N27" s="51" t="n">
        <f aca="false">Inputs!$B$33</f>
        <v>0.45</v>
      </c>
      <c r="O27" s="26" t="n">
        <f aca="false">$O$29/SUM($E$25:$E$27)</f>
        <v>0.654</v>
      </c>
      <c r="P27" s="43" t="n">
        <f aca="false">M27+N27+O27</f>
        <v>2.0516</v>
      </c>
      <c r="Q27" s="44" t="n">
        <f aca="false">P27*E27</f>
        <v>4103.2</v>
      </c>
      <c r="R27" s="26" t="n">
        <f aca="false">M27*Inputs!$B$30</f>
        <v>0.4738</v>
      </c>
      <c r="S27" s="43" t="n">
        <f aca="false">P27+R27</f>
        <v>2.5254</v>
      </c>
      <c r="T27" s="44" t="n">
        <f aca="false">S27*E27</f>
        <v>5050.8</v>
      </c>
      <c r="U27" s="26" t="n">
        <f aca="false">Inputs!$B$12-P27</f>
        <v>1.3884</v>
      </c>
      <c r="V27" s="45" t="s">
        <v>268</v>
      </c>
    </row>
    <row r="28" customFormat="false" ht="15" hidden="false" customHeight="false" outlineLevel="0" collapsed="false">
      <c r="A28" s="46" t="s">
        <v>211</v>
      </c>
      <c r="B28" s="47"/>
      <c r="C28" s="47"/>
      <c r="D28" s="47"/>
      <c r="E28" s="48" t="n">
        <f aca="false">SUM(E25:E27)</f>
        <v>6000</v>
      </c>
      <c r="F28" s="47"/>
      <c r="G28" s="47"/>
      <c r="H28" s="47"/>
      <c r="I28" s="47"/>
      <c r="J28" s="47"/>
      <c r="K28" s="47"/>
      <c r="L28" s="47"/>
      <c r="M28" s="47"/>
      <c r="N28" s="47"/>
      <c r="O28" s="47"/>
      <c r="P28" s="43" t="n">
        <f aca="false">Q28/E28</f>
        <v>2.05508833333333</v>
      </c>
      <c r="Q28" s="49" t="n">
        <f aca="false">SUM(Q25:Q27)</f>
        <v>12330.53</v>
      </c>
      <c r="R28" s="47"/>
      <c r="S28" s="43" t="n">
        <f aca="false">T28/E28</f>
        <v>2.5306325</v>
      </c>
      <c r="T28" s="49" t="n">
        <f aca="false">SUM(T25:T27)</f>
        <v>15183.795</v>
      </c>
      <c r="U28" s="43" t="n">
        <f aca="false">Inputs!$B$12-P28</f>
        <v>1.38491166666667</v>
      </c>
      <c r="V28" s="47"/>
    </row>
    <row r="29" customFormat="false" ht="15" hidden="false" customHeight="false" outlineLevel="0" collapsed="false">
      <c r="A29" s="2" t="s">
        <v>212</v>
      </c>
      <c r="O29" s="44" t="n">
        <f aca="false">Inputs!$B$15*Inputs!$B$7+Inputs!$B$16+Inputs!$B$34*Inputs!$B$6+Inputs!$B$35</f>
        <v>3924</v>
      </c>
      <c r="P29" s="2" t="s">
        <v>269</v>
      </c>
    </row>
    <row r="31" customFormat="false" ht="15" hidden="false" customHeight="false" outlineLevel="0" collapsed="false">
      <c r="A31" s="6" t="s">
        <v>272</v>
      </c>
      <c r="B31" s="6"/>
      <c r="C31" s="6"/>
      <c r="D31" s="6"/>
      <c r="E31" s="6"/>
      <c r="F31" s="6"/>
      <c r="G31" s="6"/>
      <c r="H31" s="6"/>
      <c r="I31" s="6"/>
      <c r="J31" s="6"/>
      <c r="K31" s="6"/>
      <c r="L31" s="6"/>
      <c r="M31" s="6"/>
      <c r="N31" s="6"/>
      <c r="O31" s="6"/>
      <c r="P31" s="6"/>
      <c r="Q31" s="6"/>
      <c r="R31" s="6"/>
      <c r="S31" s="6"/>
      <c r="T31" s="6"/>
      <c r="U31" s="6"/>
      <c r="V31" s="6"/>
    </row>
    <row r="32" customFormat="false" ht="30" hidden="false" customHeight="true" outlineLevel="0" collapsed="false">
      <c r="A32" s="38" t="s">
        <v>273</v>
      </c>
      <c r="B32" s="38"/>
      <c r="C32" s="38"/>
      <c r="D32" s="38"/>
      <c r="E32" s="38"/>
      <c r="F32" s="38"/>
      <c r="G32" s="38"/>
      <c r="H32" s="38"/>
      <c r="I32" s="38"/>
      <c r="J32" s="38"/>
      <c r="K32" s="38"/>
      <c r="L32" s="38"/>
      <c r="M32" s="38"/>
      <c r="N32" s="38"/>
      <c r="O32" s="38"/>
      <c r="P32" s="38"/>
      <c r="Q32" s="38"/>
      <c r="R32" s="38"/>
      <c r="S32" s="38"/>
      <c r="T32" s="38"/>
      <c r="U32" s="38"/>
      <c r="V32" s="38"/>
    </row>
    <row r="33" customFormat="false" ht="54" hidden="false" customHeight="true" outlineLevel="0" collapsed="false">
      <c r="A33" s="7" t="s">
        <v>177</v>
      </c>
      <c r="B33" s="7" t="s">
        <v>178</v>
      </c>
      <c r="C33" s="7" t="s">
        <v>179</v>
      </c>
      <c r="D33" s="7" t="s">
        <v>180</v>
      </c>
      <c r="E33" s="7" t="s">
        <v>181</v>
      </c>
      <c r="F33" s="7" t="s">
        <v>182</v>
      </c>
      <c r="G33" s="7" t="s">
        <v>183</v>
      </c>
      <c r="H33" s="7" t="s">
        <v>184</v>
      </c>
      <c r="I33" s="7" t="s">
        <v>185</v>
      </c>
      <c r="J33" s="7" t="s">
        <v>186</v>
      </c>
      <c r="K33" s="7" t="s">
        <v>187</v>
      </c>
      <c r="L33" s="7" t="s">
        <v>188</v>
      </c>
      <c r="M33" s="7" t="s">
        <v>189</v>
      </c>
      <c r="N33" s="7" t="s">
        <v>190</v>
      </c>
      <c r="O33" s="7" t="s">
        <v>191</v>
      </c>
      <c r="P33" s="7" t="s">
        <v>192</v>
      </c>
      <c r="Q33" s="7" t="s">
        <v>193</v>
      </c>
      <c r="R33" s="7" t="s">
        <v>194</v>
      </c>
      <c r="S33" s="7" t="s">
        <v>195</v>
      </c>
      <c r="T33" s="7" t="s">
        <v>196</v>
      </c>
      <c r="U33" s="7" t="s">
        <v>197</v>
      </c>
      <c r="V33" s="7" t="s">
        <v>198</v>
      </c>
    </row>
    <row r="34" customFormat="false" ht="22.35" hidden="false" customHeight="false" outlineLevel="0" collapsed="false">
      <c r="A34" s="34" t="s">
        <v>199</v>
      </c>
      <c r="B34" s="13" t="s">
        <v>142</v>
      </c>
      <c r="C34" s="9" t="s">
        <v>274</v>
      </c>
      <c r="D34" s="34" t="s">
        <v>143</v>
      </c>
      <c r="E34" s="39" t="n">
        <f aca="false">Inputs!$B$5</f>
        <v>2000</v>
      </c>
      <c r="F34" s="40" t="s">
        <v>201</v>
      </c>
      <c r="G34" s="50" t="s">
        <v>227</v>
      </c>
      <c r="H34" s="23" t="n">
        <v>48</v>
      </c>
      <c r="I34" s="42" t="n">
        <v>0.75</v>
      </c>
      <c r="J34" s="9" t="s">
        <v>275</v>
      </c>
      <c r="K34" s="42" t="n">
        <v>0.15</v>
      </c>
      <c r="L34" s="32" t="n">
        <f aca="false">IF(F34="USD",Inputs!$B$7,1)</f>
        <v>1.38</v>
      </c>
      <c r="M34" s="26" t="n">
        <f aca="false">(I34+K34)*L34*(1+Inputs!$B$29)</f>
        <v>1.242</v>
      </c>
      <c r="N34" s="26" t="n">
        <v>0</v>
      </c>
      <c r="O34" s="26" t="n">
        <f aca="false">$O$38/SUM($E$34:$E$36)</f>
        <v>0.279</v>
      </c>
      <c r="P34" s="43" t="n">
        <f aca="false">M34+N34+O34</f>
        <v>1.521</v>
      </c>
      <c r="Q34" s="44" t="n">
        <f aca="false">P34*E34</f>
        <v>3042</v>
      </c>
      <c r="R34" s="26" t="n">
        <f aca="false">M34*Inputs!$B$30</f>
        <v>0.621</v>
      </c>
      <c r="S34" s="43" t="n">
        <f aca="false">P34+R34</f>
        <v>2.142</v>
      </c>
      <c r="T34" s="44" t="n">
        <f aca="false">S34*E34</f>
        <v>4284</v>
      </c>
      <c r="U34" s="26" t="n">
        <f aca="false">Inputs!$B$12-P34</f>
        <v>1.919</v>
      </c>
      <c r="V34" s="45" t="s">
        <v>276</v>
      </c>
    </row>
    <row r="35" customFormat="false" ht="15" hidden="false" customHeight="false" outlineLevel="0" collapsed="false">
      <c r="A35" s="34" t="s">
        <v>245</v>
      </c>
      <c r="B35" s="13" t="s">
        <v>153</v>
      </c>
      <c r="C35" s="9" t="s">
        <v>277</v>
      </c>
      <c r="D35" s="34" t="s">
        <v>150</v>
      </c>
      <c r="E35" s="39" t="n">
        <f aca="false">Inputs!$B$5</f>
        <v>2000</v>
      </c>
      <c r="F35" s="40" t="s">
        <v>201</v>
      </c>
      <c r="G35" s="50" t="s">
        <v>227</v>
      </c>
      <c r="H35" s="23" t="n">
        <v>60</v>
      </c>
      <c r="I35" s="42" t="n">
        <v>1.57</v>
      </c>
      <c r="J35" s="9" t="s">
        <v>221</v>
      </c>
      <c r="K35" s="42" t="n">
        <v>0.15</v>
      </c>
      <c r="L35" s="32" t="n">
        <f aca="false">IF(F35="USD",Inputs!$B$7,1)</f>
        <v>1.38</v>
      </c>
      <c r="M35" s="26" t="n">
        <f aca="false">(I35+K35)*L35*(1+Inputs!$B$29)</f>
        <v>2.3736</v>
      </c>
      <c r="N35" s="26" t="n">
        <v>0</v>
      </c>
      <c r="O35" s="26" t="n">
        <f aca="false">$O$38/SUM($E$34:$E$36)</f>
        <v>0.279</v>
      </c>
      <c r="P35" s="43" t="n">
        <f aca="false">M35+N35+O35</f>
        <v>2.6526</v>
      </c>
      <c r="Q35" s="44" t="n">
        <f aca="false">P35*E35</f>
        <v>5305.2</v>
      </c>
      <c r="R35" s="26" t="n">
        <f aca="false">M35*Inputs!$B$30</f>
        <v>1.1868</v>
      </c>
      <c r="S35" s="43" t="n">
        <f aca="false">P35+R35</f>
        <v>3.8394</v>
      </c>
      <c r="T35" s="44" t="n">
        <f aca="false">S35*E35</f>
        <v>7678.8</v>
      </c>
      <c r="U35" s="26" t="n">
        <f aca="false">Inputs!$B$12-P35</f>
        <v>0.787400000000001</v>
      </c>
      <c r="V35" s="45" t="s">
        <v>248</v>
      </c>
    </row>
    <row r="36" customFormat="false" ht="22.35" hidden="false" customHeight="false" outlineLevel="0" collapsed="false">
      <c r="A36" s="34" t="s">
        <v>207</v>
      </c>
      <c r="B36" s="13" t="s">
        <v>153</v>
      </c>
      <c r="C36" s="9" t="s">
        <v>277</v>
      </c>
      <c r="D36" s="34" t="s">
        <v>150</v>
      </c>
      <c r="E36" s="39" t="n">
        <f aca="false">Inputs!$B$5</f>
        <v>2000</v>
      </c>
      <c r="F36" s="40" t="s">
        <v>201</v>
      </c>
      <c r="G36" s="50" t="s">
        <v>227</v>
      </c>
      <c r="H36" s="23" t="n">
        <v>60</v>
      </c>
      <c r="I36" s="42" t="n">
        <v>1.57</v>
      </c>
      <c r="J36" s="9" t="s">
        <v>221</v>
      </c>
      <c r="K36" s="42" t="n">
        <v>0.15</v>
      </c>
      <c r="L36" s="32" t="n">
        <f aca="false">IF(F36="USD",Inputs!$B$7,1)</f>
        <v>1.38</v>
      </c>
      <c r="M36" s="26" t="n">
        <f aca="false">(I36+K36)*L36*(1+Inputs!$B$29)</f>
        <v>2.3736</v>
      </c>
      <c r="N36" s="26" t="n">
        <v>0</v>
      </c>
      <c r="O36" s="26" t="n">
        <f aca="false">$O$38/SUM($E$34:$E$36)</f>
        <v>0.279</v>
      </c>
      <c r="P36" s="43" t="n">
        <f aca="false">M36+N36+O36</f>
        <v>2.6526</v>
      </c>
      <c r="Q36" s="44" t="n">
        <f aca="false">P36*E36</f>
        <v>5305.2</v>
      </c>
      <c r="R36" s="26" t="n">
        <f aca="false">M36*Inputs!$B$30</f>
        <v>1.1868</v>
      </c>
      <c r="S36" s="43" t="n">
        <f aca="false">P36+R36</f>
        <v>3.8394</v>
      </c>
      <c r="T36" s="44" t="n">
        <f aca="false">S36*E36</f>
        <v>7678.8</v>
      </c>
      <c r="U36" s="26" t="n">
        <f aca="false">Inputs!$B$12-P36</f>
        <v>0.787400000000001</v>
      </c>
      <c r="V36" s="45" t="s">
        <v>276</v>
      </c>
    </row>
    <row r="37" customFormat="false" ht="15" hidden="false" customHeight="false" outlineLevel="0" collapsed="false">
      <c r="A37" s="46" t="s">
        <v>211</v>
      </c>
      <c r="B37" s="47"/>
      <c r="C37" s="47"/>
      <c r="D37" s="47"/>
      <c r="E37" s="48" t="n">
        <f aca="false">SUM(E34:E36)</f>
        <v>6000</v>
      </c>
      <c r="F37" s="47"/>
      <c r="G37" s="47"/>
      <c r="H37" s="47"/>
      <c r="I37" s="47"/>
      <c r="J37" s="47"/>
      <c r="K37" s="47"/>
      <c r="L37" s="47"/>
      <c r="M37" s="47"/>
      <c r="N37" s="47"/>
      <c r="O37" s="47"/>
      <c r="P37" s="43" t="n">
        <f aca="false">Q37/E37</f>
        <v>2.2754</v>
      </c>
      <c r="Q37" s="49" t="n">
        <f aca="false">SUM(Q34:Q36)</f>
        <v>13652.4</v>
      </c>
      <c r="R37" s="47"/>
      <c r="S37" s="43" t="n">
        <f aca="false">T37/E37</f>
        <v>3.2736</v>
      </c>
      <c r="T37" s="49" t="n">
        <f aca="false">SUM(T34:T36)</f>
        <v>19641.6</v>
      </c>
      <c r="U37" s="43" t="n">
        <f aca="false">Inputs!$B$12-P37</f>
        <v>1.1646</v>
      </c>
      <c r="V37" s="47"/>
    </row>
    <row r="38" customFormat="false" ht="15" hidden="false" customHeight="false" outlineLevel="0" collapsed="false">
      <c r="A38" s="2" t="s">
        <v>212</v>
      </c>
      <c r="O38" s="44" t="n">
        <f aca="false">Inputs!$B$15*Inputs!$B$7+Inputs!$B$16</f>
        <v>1674</v>
      </c>
      <c r="P38" s="2" t="s">
        <v>213</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278</v>
      </c>
    </row>
    <row r="2" customFormat="false" ht="15" hidden="false" customHeight="false" outlineLevel="0" collapsed="false">
      <c r="A2" s="2" t="s">
        <v>279</v>
      </c>
    </row>
    <row r="4" customFormat="false" ht="15" hidden="false" customHeight="false" outlineLevel="0" collapsed="false">
      <c r="A4" s="4" t="s">
        <v>280</v>
      </c>
    </row>
    <row r="5" customFormat="false" ht="43.5" hidden="false" customHeight="true" outlineLevel="0" collapsed="false">
      <c r="A5" s="29" t="s">
        <v>43</v>
      </c>
      <c r="B5" s="29" t="s">
        <v>44</v>
      </c>
      <c r="C5" s="29" t="s">
        <v>281</v>
      </c>
      <c r="D5" s="29" t="s">
        <v>282</v>
      </c>
      <c r="E5" s="29" t="s">
        <v>283</v>
      </c>
      <c r="F5" s="29" t="s">
        <v>284</v>
      </c>
      <c r="G5" s="29" t="s">
        <v>285</v>
      </c>
      <c r="H5" s="29" t="s">
        <v>286</v>
      </c>
    </row>
    <row r="6" customFormat="false" ht="15" hidden="false" customHeight="false" outlineLevel="0" collapsed="false">
      <c r="A6" s="13" t="s">
        <v>49</v>
      </c>
      <c r="B6" s="34" t="s">
        <v>287</v>
      </c>
      <c r="C6" s="44" t="n">
        <f aca="false">N31</f>
        <v>6696.05</v>
      </c>
      <c r="D6" s="44" t="n">
        <f aca="false">C6-N31</f>
        <v>0</v>
      </c>
      <c r="E6" s="44" t="n">
        <f aca="false">O31</f>
        <v>9207.075</v>
      </c>
      <c r="F6" s="44" t="n">
        <f aca="false">E6-O31</f>
        <v>0</v>
      </c>
      <c r="G6" s="26" t="n">
        <f aca="false">J31</f>
        <v>1.11600833333333</v>
      </c>
      <c r="H6" s="34" t="s">
        <v>288</v>
      </c>
    </row>
    <row r="7" customFormat="false" ht="15" hidden="false" customHeight="false" outlineLevel="0" collapsed="false">
      <c r="A7" s="17" t="s">
        <v>50</v>
      </c>
      <c r="B7" s="17" t="s">
        <v>289</v>
      </c>
      <c r="C7" s="52" t="n">
        <f aca="false">N38</f>
        <v>7090.7</v>
      </c>
      <c r="D7" s="52" t="n">
        <f aca="false">C7-N31</f>
        <v>394.650000000001</v>
      </c>
      <c r="E7" s="52" t="n">
        <f aca="false">O38</f>
        <v>7940.55</v>
      </c>
      <c r="F7" s="52" t="n">
        <f aca="false">E7-O31</f>
        <v>-1266.525</v>
      </c>
      <c r="G7" s="53" t="n">
        <f aca="false">J38</f>
        <v>1.18178333333333</v>
      </c>
      <c r="H7" s="54" t="s">
        <v>288</v>
      </c>
    </row>
    <row r="8" customFormat="false" ht="15" hidden="false" customHeight="false" outlineLevel="0" collapsed="false">
      <c r="A8" s="17" t="s">
        <v>51</v>
      </c>
      <c r="B8" s="17" t="s">
        <v>290</v>
      </c>
      <c r="C8" s="52" t="n">
        <f aca="false">N45</f>
        <v>6935.5</v>
      </c>
      <c r="D8" s="52" t="n">
        <f aca="false">C8-N31</f>
        <v>239.450000000001</v>
      </c>
      <c r="E8" s="52" t="n">
        <f aca="false">O45</f>
        <v>7785.35</v>
      </c>
      <c r="F8" s="52" t="n">
        <f aca="false">E8-O31</f>
        <v>-1421.725</v>
      </c>
      <c r="G8" s="53" t="n">
        <f aca="false">J45</f>
        <v>1.15591666666667</v>
      </c>
      <c r="H8" s="54" t="s">
        <v>288</v>
      </c>
    </row>
    <row r="9" customFormat="false" ht="15" hidden="false" customHeight="false" outlineLevel="0" collapsed="false">
      <c r="A9" s="13" t="s">
        <v>52</v>
      </c>
      <c r="B9" s="34" t="s">
        <v>291</v>
      </c>
      <c r="C9" s="44" t="n">
        <f aca="false">N52</f>
        <v>6855</v>
      </c>
      <c r="D9" s="44" t="n">
        <f aca="false">C9-N31</f>
        <v>158.950000000001</v>
      </c>
      <c r="E9" s="44" t="n">
        <f aca="false">O52</f>
        <v>7664.6</v>
      </c>
      <c r="F9" s="44" t="n">
        <f aca="false">E9-O31</f>
        <v>-1542.475</v>
      </c>
      <c r="G9" s="26" t="n">
        <f aca="false">J52</f>
        <v>1.1425</v>
      </c>
      <c r="H9" s="34" t="s">
        <v>288</v>
      </c>
    </row>
    <row r="10" customFormat="false" ht="15" hidden="false" customHeight="false" outlineLevel="0" collapsed="false">
      <c r="A10" s="13" t="s">
        <v>53</v>
      </c>
      <c r="B10" s="34" t="s">
        <v>292</v>
      </c>
      <c r="C10" s="44" t="n">
        <f aca="false">N59</f>
        <v>7288.8</v>
      </c>
      <c r="D10" s="44" t="n">
        <f aca="false">C10-N31</f>
        <v>592.750000000001</v>
      </c>
      <c r="E10" s="44" t="n">
        <f aca="false">O59</f>
        <v>7288.8</v>
      </c>
      <c r="F10" s="44" t="n">
        <f aca="false">E10-O31</f>
        <v>-1918.275</v>
      </c>
      <c r="G10" s="26" t="n">
        <f aca="false">J59</f>
        <v>1.2148</v>
      </c>
      <c r="H10" s="34" t="s">
        <v>288</v>
      </c>
    </row>
    <row r="11" customFormat="false" ht="15" hidden="false" customHeight="false" outlineLevel="0" collapsed="false">
      <c r="A11" s="13" t="s">
        <v>293</v>
      </c>
      <c r="B11" s="34" t="s">
        <v>294</v>
      </c>
      <c r="C11" s="44" t="n">
        <f aca="false">N66</f>
        <v>6178.4</v>
      </c>
      <c r="D11" s="44" t="n">
        <f aca="false">C11-N31</f>
        <v>-517.65</v>
      </c>
      <c r="E11" s="44" t="n">
        <f aca="false">O66</f>
        <v>6178.4</v>
      </c>
      <c r="F11" s="44" t="n">
        <f aca="false">E11-O31</f>
        <v>-3028.675</v>
      </c>
      <c r="G11" s="26" t="n">
        <f aca="false">J66</f>
        <v>1.02973333333333</v>
      </c>
      <c r="H11" s="34" t="s">
        <v>295</v>
      </c>
    </row>
    <row r="12" customFormat="false" ht="15" hidden="false" customHeight="false" outlineLevel="0" collapsed="false">
      <c r="A12" s="13" t="s">
        <v>54</v>
      </c>
      <c r="B12" s="34" t="s">
        <v>296</v>
      </c>
      <c r="C12" s="44" t="n">
        <f aca="false">N74</f>
        <v>11646.05</v>
      </c>
      <c r="D12" s="44" t="n">
        <f aca="false">C12-N74</f>
        <v>0</v>
      </c>
      <c r="E12" s="44" t="n">
        <f aca="false">O74</f>
        <v>14157.075</v>
      </c>
      <c r="F12" s="44" t="n">
        <f aca="false">E12-O74</f>
        <v>0</v>
      </c>
      <c r="G12" s="26" t="n">
        <f aca="false">J74</f>
        <v>1.94100833333333</v>
      </c>
      <c r="H12" s="34" t="s">
        <v>288</v>
      </c>
    </row>
    <row r="13" customFormat="false" ht="15" hidden="false" customHeight="false" outlineLevel="0" collapsed="false">
      <c r="A13" s="17" t="s">
        <v>55</v>
      </c>
      <c r="B13" s="17" t="s">
        <v>297</v>
      </c>
      <c r="C13" s="52" t="n">
        <f aca="false">N81</f>
        <v>9271.9</v>
      </c>
      <c r="D13" s="52" t="n">
        <f aca="false">C13-N74</f>
        <v>-2374.15</v>
      </c>
      <c r="E13" s="52" t="n">
        <f aca="false">O81</f>
        <v>10121.75</v>
      </c>
      <c r="F13" s="52" t="n">
        <f aca="false">E13-O74</f>
        <v>-4035.325</v>
      </c>
      <c r="G13" s="53" t="n">
        <f aca="false">J81</f>
        <v>1.54531666666667</v>
      </c>
      <c r="H13" s="54" t="s">
        <v>288</v>
      </c>
    </row>
    <row r="14" customFormat="false" ht="15" hidden="false" customHeight="false" outlineLevel="0" collapsed="false">
      <c r="A14" s="17" t="s">
        <v>56</v>
      </c>
      <c r="B14" s="17" t="s">
        <v>298</v>
      </c>
      <c r="C14" s="52" t="n">
        <f aca="false">N88</f>
        <v>9171.9</v>
      </c>
      <c r="D14" s="52" t="n">
        <f aca="false">C14-N74</f>
        <v>-2474.15</v>
      </c>
      <c r="E14" s="52" t="n">
        <f aca="false">O88</f>
        <v>10021.75</v>
      </c>
      <c r="F14" s="52" t="n">
        <f aca="false">E14-O74</f>
        <v>-4135.325</v>
      </c>
      <c r="G14" s="53" t="n">
        <f aca="false">J88</f>
        <v>1.52865</v>
      </c>
      <c r="H14" s="54" t="s">
        <v>288</v>
      </c>
    </row>
    <row r="15" customFormat="false" ht="15" hidden="false" customHeight="false" outlineLevel="0" collapsed="false">
      <c r="A15" s="13" t="s">
        <v>57</v>
      </c>
      <c r="B15" s="34" t="s">
        <v>299</v>
      </c>
      <c r="C15" s="44" t="n">
        <f aca="false">N95</f>
        <v>9091.4</v>
      </c>
      <c r="D15" s="44" t="n">
        <f aca="false">C15-N74</f>
        <v>-2554.65</v>
      </c>
      <c r="E15" s="44" t="n">
        <f aca="false">O95</f>
        <v>9901</v>
      </c>
      <c r="F15" s="44" t="n">
        <f aca="false">E15-O74</f>
        <v>-4256.075</v>
      </c>
      <c r="G15" s="26" t="n">
        <f aca="false">J95</f>
        <v>1.51523333333333</v>
      </c>
      <c r="H15" s="34" t="s">
        <v>288</v>
      </c>
    </row>
    <row r="16" customFormat="false" ht="15" hidden="false" customHeight="false" outlineLevel="0" collapsed="false">
      <c r="A16" s="13" t="s">
        <v>58</v>
      </c>
      <c r="B16" s="34" t="s">
        <v>300</v>
      </c>
      <c r="C16" s="44" t="n">
        <f aca="false">N102</f>
        <v>10369.4</v>
      </c>
      <c r="D16" s="44" t="n">
        <f aca="false">C16-N74</f>
        <v>-1276.65</v>
      </c>
      <c r="E16" s="44" t="n">
        <f aca="false">O102</f>
        <v>12743</v>
      </c>
      <c r="F16" s="44" t="n">
        <f aca="false">E16-O74</f>
        <v>-1414.075</v>
      </c>
      <c r="G16" s="26" t="n">
        <f aca="false">J102</f>
        <v>1.72823333333333</v>
      </c>
      <c r="H16" s="34" t="s">
        <v>301</v>
      </c>
    </row>
    <row r="17" customFormat="false" ht="15" hidden="false" customHeight="false" outlineLevel="0" collapsed="false">
      <c r="A17" s="13" t="s">
        <v>302</v>
      </c>
      <c r="B17" s="34" t="s">
        <v>303</v>
      </c>
      <c r="C17" s="44" t="n">
        <f aca="false">N109</f>
        <v>6730.4</v>
      </c>
      <c r="D17" s="44" t="n">
        <f aca="false">C17-N74</f>
        <v>-4915.65</v>
      </c>
      <c r="E17" s="44" t="n">
        <f aca="false">O109</f>
        <v>6730.4</v>
      </c>
      <c r="F17" s="44" t="n">
        <f aca="false">E17-O74</f>
        <v>-7426.675</v>
      </c>
      <c r="G17" s="26" t="n">
        <f aca="false">J109</f>
        <v>1.12173333333333</v>
      </c>
      <c r="H17" s="34" t="s">
        <v>295</v>
      </c>
    </row>
    <row r="18" customFormat="false" ht="15" hidden="false" customHeight="false" outlineLevel="0" collapsed="false">
      <c r="A18" s="4" t="s">
        <v>304</v>
      </c>
    </row>
    <row r="19" customFormat="false" ht="15" hidden="false" customHeight="false" outlineLevel="0" collapsed="false">
      <c r="A19" s="20" t="s">
        <v>305</v>
      </c>
    </row>
    <row r="20" customFormat="false" ht="15" hidden="false" customHeight="false" outlineLevel="0" collapsed="false">
      <c r="A20" s="20" t="s">
        <v>306</v>
      </c>
    </row>
    <row r="21" customFormat="false" ht="15" hidden="false" customHeight="false" outlineLevel="0" collapsed="false">
      <c r="A21" s="20" t="s">
        <v>307</v>
      </c>
    </row>
    <row r="22" customFormat="false" ht="15" hidden="false" customHeight="false" outlineLevel="0" collapsed="false">
      <c r="A22" s="20" t="s">
        <v>308</v>
      </c>
    </row>
    <row r="23" customFormat="false" ht="15" hidden="false" customHeight="false" outlineLevel="0" collapsed="false">
      <c r="A23" s="20" t="s">
        <v>309</v>
      </c>
    </row>
    <row r="25" customFormat="false" ht="15" hidden="false" customHeight="false" outlineLevel="0" collapsed="false">
      <c r="A25" s="55" t="s">
        <v>310</v>
      </c>
    </row>
    <row r="26" customFormat="false" ht="15" hidden="false" customHeight="false" outlineLevel="0" collapsed="false">
      <c r="A26" s="6" t="s">
        <v>311</v>
      </c>
      <c r="B26" s="6"/>
      <c r="C26" s="6"/>
      <c r="D26" s="6"/>
      <c r="E26" s="6"/>
      <c r="F26" s="6"/>
      <c r="G26" s="6"/>
      <c r="H26" s="6"/>
      <c r="I26" s="6"/>
      <c r="J26" s="6"/>
      <c r="K26" s="6"/>
      <c r="L26" s="6"/>
      <c r="M26" s="6"/>
      <c r="N26" s="6"/>
      <c r="O26" s="6"/>
    </row>
    <row r="27" customFormat="false" ht="42" hidden="false" customHeight="true" outlineLevel="0" collapsed="false">
      <c r="A27" s="7" t="s">
        <v>177</v>
      </c>
      <c r="B27" s="7" t="s">
        <v>312</v>
      </c>
      <c r="C27" s="7" t="s">
        <v>139</v>
      </c>
      <c r="D27" s="7" t="s">
        <v>313</v>
      </c>
      <c r="E27" s="7" t="s">
        <v>314</v>
      </c>
      <c r="F27" s="7" t="s">
        <v>315</v>
      </c>
      <c r="G27" s="7" t="s">
        <v>316</v>
      </c>
      <c r="H27" s="7" t="s">
        <v>317</v>
      </c>
      <c r="I27" s="7" t="s">
        <v>318</v>
      </c>
      <c r="J27" s="7" t="s">
        <v>192</v>
      </c>
      <c r="K27" s="7" t="s">
        <v>319</v>
      </c>
      <c r="L27" s="7" t="s">
        <v>320</v>
      </c>
      <c r="M27" s="7" t="s">
        <v>181</v>
      </c>
      <c r="N27" s="7" t="s">
        <v>193</v>
      </c>
      <c r="O27" s="7" t="s">
        <v>196</v>
      </c>
    </row>
    <row r="28" customFormat="false" ht="15" hidden="false" customHeight="false" outlineLevel="0" collapsed="false">
      <c r="A28" s="34" t="s">
        <v>321</v>
      </c>
      <c r="B28" s="9" t="s">
        <v>322</v>
      </c>
      <c r="C28" s="14" t="str">
        <f aca="false">'Regular Finish – Top 3'!B7</f>
        <v>4 oz</v>
      </c>
      <c r="D28" s="34" t="s">
        <v>323</v>
      </c>
      <c r="E28" s="56" t="n">
        <f aca="false">'Regular Finish – Top 3'!I7+'Regular Finish – Top 3'!K7</f>
        <v>0.617083333333333</v>
      </c>
      <c r="F28" s="57" t="n">
        <f aca="false">'Regular Finish – Top 3'!L7</f>
        <v>1.38</v>
      </c>
      <c r="G28" s="26" t="n">
        <f aca="false">E28*F28*(1+Inputs!$B$29)</f>
        <v>0.851575</v>
      </c>
      <c r="H28" s="26" t="n">
        <v>0</v>
      </c>
      <c r="I28" s="26" t="n">
        <f aca="false">(Inputs!$B$15*Inputs!$B$7+Inputs!$B$16)/(Inputs!$B$5*Inputs!$B$6)</f>
        <v>0.279</v>
      </c>
      <c r="J28" s="43" t="n">
        <f aca="false">G28+H28+I28</f>
        <v>1.130575</v>
      </c>
      <c r="K28" s="26" t="n">
        <f aca="false">G28*Inputs!$B$30</f>
        <v>0.4257875</v>
      </c>
      <c r="L28" s="43" t="n">
        <f aca="false">J28+K28</f>
        <v>1.5563625</v>
      </c>
      <c r="M28" s="39" t="n">
        <f aca="false">Inputs!$B$5</f>
        <v>2000</v>
      </c>
      <c r="N28" s="44" t="n">
        <f aca="false">J28*M28</f>
        <v>2261.15</v>
      </c>
      <c r="O28" s="44" t="n">
        <f aca="false">L28*M28</f>
        <v>3112.725</v>
      </c>
    </row>
    <row r="29" customFormat="false" ht="15" hidden="false" customHeight="false" outlineLevel="0" collapsed="false">
      <c r="A29" s="34" t="s">
        <v>324</v>
      </c>
      <c r="B29" s="9" t="s">
        <v>322</v>
      </c>
      <c r="C29" s="14" t="str">
        <f aca="false">'Regular Finish – Top 3'!B8</f>
        <v>6 oz</v>
      </c>
      <c r="D29" s="34" t="s">
        <v>323</v>
      </c>
      <c r="E29" s="56" t="n">
        <f aca="false">'Regular Finish – Top 3'!I8+'Regular Finish – Top 3'!K8</f>
        <v>0.615833333333333</v>
      </c>
      <c r="F29" s="57" t="n">
        <f aca="false">'Regular Finish – Top 3'!L8</f>
        <v>1.38</v>
      </c>
      <c r="G29" s="26" t="n">
        <f aca="false">E29*F29*(1+Inputs!$B$29)</f>
        <v>0.84985</v>
      </c>
      <c r="H29" s="26" t="n">
        <v>0</v>
      </c>
      <c r="I29" s="26" t="n">
        <f aca="false">(Inputs!$B$15*Inputs!$B$7+Inputs!$B$16)/(Inputs!$B$5*Inputs!$B$6)</f>
        <v>0.279</v>
      </c>
      <c r="J29" s="43" t="n">
        <f aca="false">G29+H29+I29</f>
        <v>1.12885</v>
      </c>
      <c r="K29" s="26" t="n">
        <f aca="false">G29*Inputs!$B$30</f>
        <v>0.424925</v>
      </c>
      <c r="L29" s="43" t="n">
        <f aca="false">J29+K29</f>
        <v>1.553775</v>
      </c>
      <c r="M29" s="39" t="n">
        <f aca="false">Inputs!$B$5</f>
        <v>2000</v>
      </c>
      <c r="N29" s="44" t="n">
        <f aca="false">J29*M29</f>
        <v>2257.7</v>
      </c>
      <c r="O29" s="44" t="n">
        <f aca="false">L29*M29</f>
        <v>3107.55</v>
      </c>
    </row>
    <row r="30" customFormat="false" ht="15" hidden="false" customHeight="false" outlineLevel="0" collapsed="false">
      <c r="A30" s="34" t="s">
        <v>325</v>
      </c>
      <c r="B30" s="9" t="s">
        <v>322</v>
      </c>
      <c r="C30" s="14" t="str">
        <f aca="false">'Regular Finish – Top 3'!B9</f>
        <v>9 oz</v>
      </c>
      <c r="D30" s="34" t="s">
        <v>323</v>
      </c>
      <c r="E30" s="56" t="n">
        <f aca="false">'Regular Finish – Top 3'!I9+'Regular Finish – Top 3'!K9</f>
        <v>0.586666666666667</v>
      </c>
      <c r="F30" s="57" t="n">
        <f aca="false">'Regular Finish – Top 3'!L9</f>
        <v>1.38</v>
      </c>
      <c r="G30" s="26" t="n">
        <f aca="false">E30*F30*(1+Inputs!$B$29)</f>
        <v>0.8096</v>
      </c>
      <c r="H30" s="26" t="n">
        <v>0</v>
      </c>
      <c r="I30" s="26" t="n">
        <f aca="false">(Inputs!$B$15*Inputs!$B$7+Inputs!$B$16)/(Inputs!$B$5*Inputs!$B$6)</f>
        <v>0.279</v>
      </c>
      <c r="J30" s="43" t="n">
        <f aca="false">G30+H30+I30</f>
        <v>1.0886</v>
      </c>
      <c r="K30" s="26" t="n">
        <f aca="false">G30*Inputs!$B$30</f>
        <v>0.4048</v>
      </c>
      <c r="L30" s="43" t="n">
        <f aca="false">J30+K30</f>
        <v>1.4934</v>
      </c>
      <c r="M30" s="39" t="n">
        <f aca="false">Inputs!$B$5</f>
        <v>2000</v>
      </c>
      <c r="N30" s="44" t="n">
        <f aca="false">J30*M30</f>
        <v>2177.2</v>
      </c>
      <c r="O30" s="44" t="n">
        <f aca="false">L30*M30</f>
        <v>2986.8</v>
      </c>
    </row>
    <row r="31" customFormat="false" ht="15" hidden="false" customHeight="false" outlineLevel="0" collapsed="false">
      <c r="A31" s="46" t="s">
        <v>326</v>
      </c>
      <c r="B31" s="47"/>
      <c r="C31" s="47"/>
      <c r="D31" s="47"/>
      <c r="E31" s="47"/>
      <c r="F31" s="47"/>
      <c r="G31" s="47"/>
      <c r="H31" s="47"/>
      <c r="I31" s="47"/>
      <c r="J31" s="43" t="n">
        <f aca="false">N31/M31</f>
        <v>1.11600833333333</v>
      </c>
      <c r="K31" s="47"/>
      <c r="L31" s="43" t="n">
        <f aca="false">O31/M31</f>
        <v>1.5345125</v>
      </c>
      <c r="M31" s="48" t="n">
        <f aca="false">SUM(M28:M30)</f>
        <v>6000</v>
      </c>
      <c r="N31" s="49" t="n">
        <f aca="false">SUM(N28:N30)</f>
        <v>6696.05</v>
      </c>
      <c r="O31" s="49" t="n">
        <f aca="false">SUM(O28:O30)</f>
        <v>9207.075</v>
      </c>
    </row>
    <row r="33" customFormat="false" ht="15" hidden="false" customHeight="false" outlineLevel="0" collapsed="false">
      <c r="A33" s="6" t="s">
        <v>327</v>
      </c>
      <c r="B33" s="6"/>
      <c r="C33" s="6"/>
      <c r="D33" s="6"/>
      <c r="E33" s="6"/>
      <c r="F33" s="6"/>
      <c r="G33" s="6"/>
      <c r="H33" s="6"/>
      <c r="I33" s="6"/>
      <c r="J33" s="6"/>
      <c r="K33" s="6"/>
      <c r="L33" s="6"/>
      <c r="M33" s="6"/>
      <c r="N33" s="6"/>
      <c r="O33" s="6"/>
    </row>
    <row r="34" customFormat="false" ht="42" hidden="false" customHeight="true" outlineLevel="0" collapsed="false">
      <c r="A34" s="7" t="s">
        <v>177</v>
      </c>
      <c r="B34" s="7" t="s">
        <v>312</v>
      </c>
      <c r="C34" s="7" t="s">
        <v>139</v>
      </c>
      <c r="D34" s="7" t="s">
        <v>313</v>
      </c>
      <c r="E34" s="7" t="s">
        <v>314</v>
      </c>
      <c r="F34" s="7" t="s">
        <v>315</v>
      </c>
      <c r="G34" s="7" t="s">
        <v>316</v>
      </c>
      <c r="H34" s="7" t="s">
        <v>317</v>
      </c>
      <c r="I34" s="7" t="s">
        <v>318</v>
      </c>
      <c r="J34" s="7" t="s">
        <v>192</v>
      </c>
      <c r="K34" s="7" t="s">
        <v>319</v>
      </c>
      <c r="L34" s="7" t="s">
        <v>320</v>
      </c>
      <c r="M34" s="7" t="s">
        <v>181</v>
      </c>
      <c r="N34" s="7" t="s">
        <v>193</v>
      </c>
      <c r="O34" s="7" t="s">
        <v>196</v>
      </c>
    </row>
    <row r="35" customFormat="false" ht="15" hidden="false" customHeight="false" outlineLevel="0" collapsed="false">
      <c r="A35" s="34" t="s">
        <v>321</v>
      </c>
      <c r="B35" s="9" t="s">
        <v>328</v>
      </c>
      <c r="C35" s="14" t="str">
        <f aca="false">'Regular Finish – Top 3'!B25</f>
        <v>120 ml</v>
      </c>
      <c r="D35" s="34" t="s">
        <v>329</v>
      </c>
      <c r="E35" s="56" t="n">
        <f aca="false">'Regular Finish – Top 3'!I25+'Regular Finish – Top 3'!K25</f>
        <v>0.44</v>
      </c>
      <c r="F35" s="57" t="n">
        <f aca="false">'Regular Finish – Top 3'!L25</f>
        <v>1.38</v>
      </c>
      <c r="G35" s="26" t="n">
        <f aca="false">E35*F35*(1+Inputs!$B$29)</f>
        <v>0.6072</v>
      </c>
      <c r="H35" s="26" t="n">
        <v>0</v>
      </c>
      <c r="I35" s="26" t="n">
        <f aca="false">(Inputs!$B$24+Inputs!$B$26)/(2*Inputs!$B$5)</f>
        <v>0.545</v>
      </c>
      <c r="J35" s="43" t="n">
        <f aca="false">G35+H35+I35</f>
        <v>1.1522</v>
      </c>
      <c r="K35" s="26" t="n">
        <v>0</v>
      </c>
      <c r="L35" s="43" t="n">
        <f aca="false">J35+K35</f>
        <v>1.1522</v>
      </c>
      <c r="M35" s="39" t="n">
        <f aca="false">Inputs!$B$5</f>
        <v>2000</v>
      </c>
      <c r="N35" s="44" t="n">
        <f aca="false">J35*M35</f>
        <v>2304.4</v>
      </c>
      <c r="O35" s="44" t="n">
        <f aca="false">L35*M35</f>
        <v>2304.4</v>
      </c>
    </row>
    <row r="36" customFormat="false" ht="15" hidden="false" customHeight="false" outlineLevel="0" collapsed="false">
      <c r="A36" s="34" t="s">
        <v>324</v>
      </c>
      <c r="B36" s="9" t="s">
        <v>330</v>
      </c>
      <c r="C36" s="14" t="str">
        <f aca="false">'Regular Finish – Top 3'!B8</f>
        <v>6 oz</v>
      </c>
      <c r="D36" s="34" t="s">
        <v>323</v>
      </c>
      <c r="E36" s="56" t="n">
        <f aca="false">'Regular Finish – Top 3'!I8+'Regular Finish – Top 3'!K8</f>
        <v>0.615833333333333</v>
      </c>
      <c r="F36" s="57" t="n">
        <f aca="false">'Regular Finish – Top 3'!L8</f>
        <v>1.38</v>
      </c>
      <c r="G36" s="26" t="n">
        <f aca="false">E36*F36*(1+Inputs!$B$29)</f>
        <v>0.84985</v>
      </c>
      <c r="H36" s="26" t="n">
        <v>0</v>
      </c>
      <c r="I36" s="26" t="n">
        <f aca="false">(Inputs!$B$21*Inputs!$B$7+Inputs!$B$22)/Inputs!$B$5</f>
        <v>0.3635</v>
      </c>
      <c r="J36" s="43" t="n">
        <f aca="false">G36+H36+I36</f>
        <v>1.21335</v>
      </c>
      <c r="K36" s="26" t="n">
        <f aca="false">G36*Inputs!$B$30</f>
        <v>0.424925</v>
      </c>
      <c r="L36" s="43" t="n">
        <f aca="false">J36+K36</f>
        <v>1.638275</v>
      </c>
      <c r="M36" s="39" t="n">
        <f aca="false">Inputs!$B$5</f>
        <v>2000</v>
      </c>
      <c r="N36" s="44" t="n">
        <f aca="false">J36*M36</f>
        <v>2426.7</v>
      </c>
      <c r="O36" s="44" t="n">
        <f aca="false">L36*M36</f>
        <v>3276.55</v>
      </c>
    </row>
    <row r="37" customFormat="false" ht="15" hidden="false" customHeight="false" outlineLevel="0" collapsed="false">
      <c r="A37" s="34" t="s">
        <v>325</v>
      </c>
      <c r="B37" s="9" t="s">
        <v>328</v>
      </c>
      <c r="C37" s="14" t="str">
        <f aca="false">'Regular Finish – Top 3'!B27</f>
        <v>250–270 ml</v>
      </c>
      <c r="D37" s="34" t="s">
        <v>329</v>
      </c>
      <c r="E37" s="56" t="n">
        <f aca="false">'Regular Finish – Top 3'!I27+'Regular Finish – Top 3'!K27</f>
        <v>0.46</v>
      </c>
      <c r="F37" s="57" t="n">
        <f aca="false">'Regular Finish – Top 3'!L27</f>
        <v>1.38</v>
      </c>
      <c r="G37" s="26" t="n">
        <f aca="false">E37*F37*(1+Inputs!$B$29)</f>
        <v>0.6348</v>
      </c>
      <c r="H37" s="26" t="n">
        <v>0</v>
      </c>
      <c r="I37" s="26" t="n">
        <f aca="false">(Inputs!$B$24+Inputs!$B$26)/(2*Inputs!$B$5)</f>
        <v>0.545</v>
      </c>
      <c r="J37" s="43" t="n">
        <f aca="false">G37+H37+I37</f>
        <v>1.1798</v>
      </c>
      <c r="K37" s="26" t="n">
        <v>0</v>
      </c>
      <c r="L37" s="43" t="n">
        <f aca="false">J37+K37</f>
        <v>1.1798</v>
      </c>
      <c r="M37" s="39" t="n">
        <f aca="false">Inputs!$B$5</f>
        <v>2000</v>
      </c>
      <c r="N37" s="44" t="n">
        <f aca="false">J37*M37</f>
        <v>2359.6</v>
      </c>
      <c r="O37" s="44" t="n">
        <f aca="false">L37*M37</f>
        <v>2359.6</v>
      </c>
    </row>
    <row r="38" customFormat="false" ht="15" hidden="false" customHeight="false" outlineLevel="0" collapsed="false">
      <c r="A38" s="46" t="s">
        <v>326</v>
      </c>
      <c r="B38" s="47"/>
      <c r="C38" s="47"/>
      <c r="D38" s="47"/>
      <c r="E38" s="47"/>
      <c r="F38" s="47"/>
      <c r="G38" s="47"/>
      <c r="H38" s="47"/>
      <c r="I38" s="47"/>
      <c r="J38" s="43" t="n">
        <f aca="false">N38/M38</f>
        <v>1.18178333333333</v>
      </c>
      <c r="K38" s="47"/>
      <c r="L38" s="43" t="n">
        <f aca="false">O38/M38</f>
        <v>1.323425</v>
      </c>
      <c r="M38" s="48" t="n">
        <f aca="false">SUM(M35:M37)</f>
        <v>6000</v>
      </c>
      <c r="N38" s="49" t="n">
        <f aca="false">SUM(N35:N37)</f>
        <v>7090.7</v>
      </c>
      <c r="O38" s="49" t="n">
        <f aca="false">SUM(O35:O37)</f>
        <v>7940.55</v>
      </c>
    </row>
    <row r="40" customFormat="false" ht="15" hidden="false" customHeight="false" outlineLevel="0" collapsed="false">
      <c r="A40" s="6" t="s">
        <v>331</v>
      </c>
      <c r="B40" s="6"/>
      <c r="C40" s="6"/>
      <c r="D40" s="6"/>
      <c r="E40" s="6"/>
      <c r="F40" s="6"/>
      <c r="G40" s="6"/>
      <c r="H40" s="6"/>
      <c r="I40" s="6"/>
      <c r="J40" s="6"/>
      <c r="K40" s="6"/>
      <c r="L40" s="6"/>
      <c r="M40" s="6"/>
      <c r="N40" s="6"/>
      <c r="O40" s="6"/>
    </row>
    <row r="41" customFormat="false" ht="42" hidden="false" customHeight="true" outlineLevel="0" collapsed="false">
      <c r="A41" s="7" t="s">
        <v>177</v>
      </c>
      <c r="B41" s="7" t="s">
        <v>312</v>
      </c>
      <c r="C41" s="7" t="s">
        <v>139</v>
      </c>
      <c r="D41" s="7" t="s">
        <v>313</v>
      </c>
      <c r="E41" s="7" t="s">
        <v>314</v>
      </c>
      <c r="F41" s="7" t="s">
        <v>315</v>
      </c>
      <c r="G41" s="7" t="s">
        <v>316</v>
      </c>
      <c r="H41" s="7" t="s">
        <v>317</v>
      </c>
      <c r="I41" s="7" t="s">
        <v>318</v>
      </c>
      <c r="J41" s="7" t="s">
        <v>192</v>
      </c>
      <c r="K41" s="7" t="s">
        <v>319</v>
      </c>
      <c r="L41" s="7" t="s">
        <v>320</v>
      </c>
      <c r="M41" s="7" t="s">
        <v>181</v>
      </c>
      <c r="N41" s="7" t="s">
        <v>193</v>
      </c>
      <c r="O41" s="7" t="s">
        <v>196</v>
      </c>
    </row>
    <row r="42" customFormat="false" ht="15" hidden="false" customHeight="false" outlineLevel="0" collapsed="false">
      <c r="A42" s="34" t="s">
        <v>321</v>
      </c>
      <c r="B42" s="9" t="s">
        <v>328</v>
      </c>
      <c r="C42" s="14" t="str">
        <f aca="false">'Regular Finish – Top 3'!B25</f>
        <v>120 ml</v>
      </c>
      <c r="D42" s="34" t="s">
        <v>329</v>
      </c>
      <c r="E42" s="56" t="n">
        <f aca="false">'Regular Finish – Top 3'!I25+'Regular Finish – Top 3'!K25</f>
        <v>0.44</v>
      </c>
      <c r="F42" s="57" t="n">
        <f aca="false">'Regular Finish – Top 3'!L25</f>
        <v>1.38</v>
      </c>
      <c r="G42" s="26" t="n">
        <f aca="false">E42*F42*(1+Inputs!$B$29)</f>
        <v>0.6072</v>
      </c>
      <c r="H42" s="26" t="n">
        <v>0</v>
      </c>
      <c r="I42" s="26" t="n">
        <f aca="false">(Inputs!$B$25+Inputs!$B$26)/(2*Inputs!$B$5)</f>
        <v>0.52</v>
      </c>
      <c r="J42" s="43" t="n">
        <f aca="false">G42+H42+I42</f>
        <v>1.1272</v>
      </c>
      <c r="K42" s="26" t="n">
        <v>0</v>
      </c>
      <c r="L42" s="43" t="n">
        <f aca="false">J42+K42</f>
        <v>1.1272</v>
      </c>
      <c r="M42" s="39" t="n">
        <f aca="false">Inputs!$B$5</f>
        <v>2000</v>
      </c>
      <c r="N42" s="44" t="n">
        <f aca="false">J42*M42</f>
        <v>2254.4</v>
      </c>
      <c r="O42" s="44" t="n">
        <f aca="false">L42*M42</f>
        <v>2254.4</v>
      </c>
    </row>
    <row r="43" customFormat="false" ht="15" hidden="false" customHeight="false" outlineLevel="0" collapsed="false">
      <c r="A43" s="34" t="s">
        <v>324</v>
      </c>
      <c r="B43" s="9" t="s">
        <v>328</v>
      </c>
      <c r="C43" s="14" t="str">
        <f aca="false">'Regular Finish – Top 3'!B26</f>
        <v>180–190 ml</v>
      </c>
      <c r="D43" s="34" t="s">
        <v>329</v>
      </c>
      <c r="E43" s="56" t="n">
        <f aca="false">'Regular Finish – Top 3'!I26+'Regular Finish – Top 3'!K26</f>
        <v>0.44</v>
      </c>
      <c r="F43" s="57" t="n">
        <f aca="false">'Regular Finish – Top 3'!L26</f>
        <v>1.38</v>
      </c>
      <c r="G43" s="26" t="n">
        <f aca="false">E43*F43*(1+Inputs!$B$29)</f>
        <v>0.6072</v>
      </c>
      <c r="H43" s="26" t="n">
        <v>0</v>
      </c>
      <c r="I43" s="26" t="n">
        <f aca="false">(Inputs!$B$25+Inputs!$B$26)/(2*Inputs!$B$5)</f>
        <v>0.52</v>
      </c>
      <c r="J43" s="43" t="n">
        <f aca="false">G43+H43+I43</f>
        <v>1.1272</v>
      </c>
      <c r="K43" s="26" t="n">
        <v>0</v>
      </c>
      <c r="L43" s="43" t="n">
        <f aca="false">J43+K43</f>
        <v>1.1272</v>
      </c>
      <c r="M43" s="39" t="n">
        <f aca="false">Inputs!$B$5</f>
        <v>2000</v>
      </c>
      <c r="N43" s="44" t="n">
        <f aca="false">J43*M43</f>
        <v>2254.4</v>
      </c>
      <c r="O43" s="44" t="n">
        <f aca="false">L43*M43</f>
        <v>2254.4</v>
      </c>
    </row>
    <row r="44" customFormat="false" ht="15" hidden="false" customHeight="false" outlineLevel="0" collapsed="false">
      <c r="A44" s="34" t="s">
        <v>325</v>
      </c>
      <c r="B44" s="9" t="s">
        <v>332</v>
      </c>
      <c r="C44" s="14" t="str">
        <f aca="false">'Regular Finish – Top 3'!B8</f>
        <v>6 oz</v>
      </c>
      <c r="D44" s="34" t="s">
        <v>323</v>
      </c>
      <c r="E44" s="56" t="n">
        <f aca="false">'Regular Finish – Top 3'!I8+'Regular Finish – Top 3'!K8</f>
        <v>0.615833333333333</v>
      </c>
      <c r="F44" s="57" t="n">
        <f aca="false">'Regular Finish – Top 3'!L8</f>
        <v>1.38</v>
      </c>
      <c r="G44" s="26" t="n">
        <f aca="false">E44*F44*(1+Inputs!$B$29)</f>
        <v>0.84985</v>
      </c>
      <c r="H44" s="26" t="n">
        <v>0</v>
      </c>
      <c r="I44" s="26" t="n">
        <f aca="false">(Inputs!$B$21*Inputs!$B$7+Inputs!$B$22)/Inputs!$B$5</f>
        <v>0.3635</v>
      </c>
      <c r="J44" s="43" t="n">
        <f aca="false">G44+H44+I44</f>
        <v>1.21335</v>
      </c>
      <c r="K44" s="26" t="n">
        <f aca="false">G44*Inputs!$B$30</f>
        <v>0.424925</v>
      </c>
      <c r="L44" s="43" t="n">
        <f aca="false">J44+K44</f>
        <v>1.638275</v>
      </c>
      <c r="M44" s="39" t="n">
        <f aca="false">Inputs!$B$5</f>
        <v>2000</v>
      </c>
      <c r="N44" s="44" t="n">
        <f aca="false">J44*M44</f>
        <v>2426.7</v>
      </c>
      <c r="O44" s="44" t="n">
        <f aca="false">L44*M44</f>
        <v>3276.55</v>
      </c>
    </row>
    <row r="45" customFormat="false" ht="15" hidden="false" customHeight="false" outlineLevel="0" collapsed="false">
      <c r="A45" s="46" t="s">
        <v>326</v>
      </c>
      <c r="B45" s="47"/>
      <c r="C45" s="47"/>
      <c r="D45" s="47"/>
      <c r="E45" s="47"/>
      <c r="F45" s="47"/>
      <c r="G45" s="47"/>
      <c r="H45" s="47"/>
      <c r="I45" s="47"/>
      <c r="J45" s="43" t="n">
        <f aca="false">N45/M45</f>
        <v>1.15591666666667</v>
      </c>
      <c r="K45" s="47"/>
      <c r="L45" s="43" t="n">
        <f aca="false">O45/M45</f>
        <v>1.29755833333333</v>
      </c>
      <c r="M45" s="48" t="n">
        <f aca="false">SUM(M42:M44)</f>
        <v>6000</v>
      </c>
      <c r="N45" s="49" t="n">
        <f aca="false">SUM(N42:N44)</f>
        <v>6935.5</v>
      </c>
      <c r="O45" s="49" t="n">
        <f aca="false">SUM(O42:O44)</f>
        <v>7785.35</v>
      </c>
    </row>
    <row r="47" customFormat="false" ht="15" hidden="false" customHeight="false" outlineLevel="0" collapsed="false">
      <c r="A47" s="6" t="s">
        <v>333</v>
      </c>
      <c r="B47" s="6"/>
      <c r="C47" s="6"/>
      <c r="D47" s="6"/>
      <c r="E47" s="6"/>
      <c r="F47" s="6"/>
      <c r="G47" s="6"/>
      <c r="H47" s="6"/>
      <c r="I47" s="6"/>
      <c r="J47" s="6"/>
      <c r="K47" s="6"/>
      <c r="L47" s="6"/>
      <c r="M47" s="6"/>
      <c r="N47" s="6"/>
      <c r="O47" s="6"/>
    </row>
    <row r="48" customFormat="false" ht="42" hidden="false" customHeight="true" outlineLevel="0" collapsed="false">
      <c r="A48" s="7" t="s">
        <v>177</v>
      </c>
      <c r="B48" s="7" t="s">
        <v>312</v>
      </c>
      <c r="C48" s="7" t="s">
        <v>139</v>
      </c>
      <c r="D48" s="7" t="s">
        <v>313</v>
      </c>
      <c r="E48" s="7" t="s">
        <v>314</v>
      </c>
      <c r="F48" s="7" t="s">
        <v>315</v>
      </c>
      <c r="G48" s="7" t="s">
        <v>316</v>
      </c>
      <c r="H48" s="7" t="s">
        <v>317</v>
      </c>
      <c r="I48" s="7" t="s">
        <v>318</v>
      </c>
      <c r="J48" s="7" t="s">
        <v>192</v>
      </c>
      <c r="K48" s="7" t="s">
        <v>319</v>
      </c>
      <c r="L48" s="7" t="s">
        <v>320</v>
      </c>
      <c r="M48" s="7" t="s">
        <v>181</v>
      </c>
      <c r="N48" s="7" t="s">
        <v>193</v>
      </c>
      <c r="O48" s="7" t="s">
        <v>196</v>
      </c>
    </row>
    <row r="49" customFormat="false" ht="15" hidden="false" customHeight="false" outlineLevel="0" collapsed="false">
      <c r="A49" s="34" t="s">
        <v>321</v>
      </c>
      <c r="B49" s="9" t="s">
        <v>328</v>
      </c>
      <c r="C49" s="14" t="str">
        <f aca="false">'Regular Finish – Top 3'!B25</f>
        <v>120 ml</v>
      </c>
      <c r="D49" s="34" t="s">
        <v>329</v>
      </c>
      <c r="E49" s="56" t="n">
        <f aca="false">'Regular Finish – Top 3'!I25+'Regular Finish – Top 3'!K25</f>
        <v>0.44</v>
      </c>
      <c r="F49" s="57" t="n">
        <f aca="false">'Regular Finish – Top 3'!L25</f>
        <v>1.38</v>
      </c>
      <c r="G49" s="26" t="n">
        <f aca="false">E49*F49*(1+Inputs!$B$29)</f>
        <v>0.6072</v>
      </c>
      <c r="H49" s="26" t="n">
        <v>0</v>
      </c>
      <c r="I49" s="26" t="n">
        <f aca="false">(Inputs!$B$25+Inputs!$B$26)/(2*Inputs!$B$5)</f>
        <v>0.52</v>
      </c>
      <c r="J49" s="43" t="n">
        <f aca="false">G49+H49+I49</f>
        <v>1.1272</v>
      </c>
      <c r="K49" s="26" t="n">
        <v>0</v>
      </c>
      <c r="L49" s="43" t="n">
        <f aca="false">J49+K49</f>
        <v>1.1272</v>
      </c>
      <c r="M49" s="39" t="n">
        <f aca="false">Inputs!$B$5</f>
        <v>2000</v>
      </c>
      <c r="N49" s="44" t="n">
        <f aca="false">J49*M49</f>
        <v>2254.4</v>
      </c>
      <c r="O49" s="44" t="n">
        <f aca="false">L49*M49</f>
        <v>2254.4</v>
      </c>
    </row>
    <row r="50" customFormat="false" ht="15" hidden="false" customHeight="false" outlineLevel="0" collapsed="false">
      <c r="A50" s="34" t="s">
        <v>324</v>
      </c>
      <c r="B50" s="9" t="s">
        <v>328</v>
      </c>
      <c r="C50" s="14" t="str">
        <f aca="false">'Regular Finish – Top 3'!B26</f>
        <v>180–190 ml</v>
      </c>
      <c r="D50" s="34" t="s">
        <v>329</v>
      </c>
      <c r="E50" s="56" t="n">
        <f aca="false">'Regular Finish – Top 3'!I26+'Regular Finish – Top 3'!K26</f>
        <v>0.44</v>
      </c>
      <c r="F50" s="57" t="n">
        <f aca="false">'Regular Finish – Top 3'!L26</f>
        <v>1.38</v>
      </c>
      <c r="G50" s="26" t="n">
        <f aca="false">E50*F50*(1+Inputs!$B$29)</f>
        <v>0.6072</v>
      </c>
      <c r="H50" s="26" t="n">
        <v>0</v>
      </c>
      <c r="I50" s="26" t="n">
        <f aca="false">(Inputs!$B$25+Inputs!$B$26)/(2*Inputs!$B$5)</f>
        <v>0.52</v>
      </c>
      <c r="J50" s="43" t="n">
        <f aca="false">G50+H50+I50</f>
        <v>1.1272</v>
      </c>
      <c r="K50" s="26" t="n">
        <v>0</v>
      </c>
      <c r="L50" s="43" t="n">
        <f aca="false">J50+K50</f>
        <v>1.1272</v>
      </c>
      <c r="M50" s="39" t="n">
        <f aca="false">Inputs!$B$5</f>
        <v>2000</v>
      </c>
      <c r="N50" s="44" t="n">
        <f aca="false">J50*M50</f>
        <v>2254.4</v>
      </c>
      <c r="O50" s="44" t="n">
        <f aca="false">L50*M50</f>
        <v>2254.4</v>
      </c>
    </row>
    <row r="51" customFormat="false" ht="15" hidden="false" customHeight="false" outlineLevel="0" collapsed="false">
      <c r="A51" s="34" t="s">
        <v>325</v>
      </c>
      <c r="B51" s="9" t="s">
        <v>330</v>
      </c>
      <c r="C51" s="14" t="str">
        <f aca="false">'Regular Finish – Top 3'!B9</f>
        <v>9 oz</v>
      </c>
      <c r="D51" s="34" t="s">
        <v>323</v>
      </c>
      <c r="E51" s="56" t="n">
        <f aca="false">'Regular Finish – Top 3'!I9+'Regular Finish – Top 3'!K9</f>
        <v>0.586666666666667</v>
      </c>
      <c r="F51" s="57" t="n">
        <f aca="false">'Regular Finish – Top 3'!L9</f>
        <v>1.38</v>
      </c>
      <c r="G51" s="26" t="n">
        <f aca="false">E51*F51*(1+Inputs!$B$29)</f>
        <v>0.8096</v>
      </c>
      <c r="H51" s="26" t="n">
        <v>0</v>
      </c>
      <c r="I51" s="26" t="n">
        <f aca="false">(Inputs!$B$21*Inputs!$B$7+Inputs!$B$22)/Inputs!$B$5</f>
        <v>0.3635</v>
      </c>
      <c r="J51" s="43" t="n">
        <f aca="false">G51+H51+I51</f>
        <v>1.1731</v>
      </c>
      <c r="K51" s="26" t="n">
        <f aca="false">G51*Inputs!$B$30</f>
        <v>0.4048</v>
      </c>
      <c r="L51" s="43" t="n">
        <f aca="false">J51+K51</f>
        <v>1.5779</v>
      </c>
      <c r="M51" s="39" t="n">
        <f aca="false">Inputs!$B$5</f>
        <v>2000</v>
      </c>
      <c r="N51" s="44" t="n">
        <f aca="false">J51*M51</f>
        <v>2346.2</v>
      </c>
      <c r="O51" s="44" t="n">
        <f aca="false">L51*M51</f>
        <v>3155.8</v>
      </c>
    </row>
    <row r="52" customFormat="false" ht="15" hidden="false" customHeight="false" outlineLevel="0" collapsed="false">
      <c r="A52" s="46" t="s">
        <v>326</v>
      </c>
      <c r="B52" s="47"/>
      <c r="C52" s="47"/>
      <c r="D52" s="47"/>
      <c r="E52" s="47"/>
      <c r="F52" s="47"/>
      <c r="G52" s="47"/>
      <c r="H52" s="47"/>
      <c r="I52" s="47"/>
      <c r="J52" s="43" t="n">
        <f aca="false">N52/M52</f>
        <v>1.1425</v>
      </c>
      <c r="K52" s="47"/>
      <c r="L52" s="43" t="n">
        <f aca="false">O52/M52</f>
        <v>1.27743333333333</v>
      </c>
      <c r="M52" s="48" t="n">
        <f aca="false">SUM(M49:M51)</f>
        <v>6000</v>
      </c>
      <c r="N52" s="49" t="n">
        <f aca="false">SUM(N49:N51)</f>
        <v>6855</v>
      </c>
      <c r="O52" s="49" t="n">
        <f aca="false">SUM(O49:O51)</f>
        <v>7664.6</v>
      </c>
    </row>
    <row r="54" customFormat="false" ht="15" hidden="false" customHeight="false" outlineLevel="0" collapsed="false">
      <c r="A54" s="6" t="s">
        <v>334</v>
      </c>
      <c r="B54" s="6"/>
      <c r="C54" s="6"/>
      <c r="D54" s="6"/>
      <c r="E54" s="6"/>
      <c r="F54" s="6"/>
      <c r="G54" s="6"/>
      <c r="H54" s="6"/>
      <c r="I54" s="6"/>
      <c r="J54" s="6"/>
      <c r="K54" s="6"/>
      <c r="L54" s="6"/>
      <c r="M54" s="6"/>
      <c r="N54" s="6"/>
      <c r="O54" s="6"/>
    </row>
    <row r="55" customFormat="false" ht="42" hidden="false" customHeight="true" outlineLevel="0" collapsed="false">
      <c r="A55" s="7" t="s">
        <v>177</v>
      </c>
      <c r="B55" s="7" t="s">
        <v>312</v>
      </c>
      <c r="C55" s="7" t="s">
        <v>139</v>
      </c>
      <c r="D55" s="7" t="s">
        <v>313</v>
      </c>
      <c r="E55" s="7" t="s">
        <v>314</v>
      </c>
      <c r="F55" s="7" t="s">
        <v>315</v>
      </c>
      <c r="G55" s="7" t="s">
        <v>316</v>
      </c>
      <c r="H55" s="7" t="s">
        <v>317</v>
      </c>
      <c r="I55" s="7" t="s">
        <v>318</v>
      </c>
      <c r="J55" s="7" t="s">
        <v>192</v>
      </c>
      <c r="K55" s="7" t="s">
        <v>319</v>
      </c>
      <c r="L55" s="7" t="s">
        <v>320</v>
      </c>
      <c r="M55" s="7" t="s">
        <v>181</v>
      </c>
      <c r="N55" s="7" t="s">
        <v>193</v>
      </c>
      <c r="O55" s="7" t="s">
        <v>196</v>
      </c>
    </row>
    <row r="56" customFormat="false" ht="15" hidden="false" customHeight="false" outlineLevel="0" collapsed="false">
      <c r="A56" s="34" t="s">
        <v>321</v>
      </c>
      <c r="B56" s="9" t="s">
        <v>328</v>
      </c>
      <c r="C56" s="14" t="str">
        <f aca="false">'Regular Finish – Top 3'!B25</f>
        <v>120 ml</v>
      </c>
      <c r="D56" s="34" t="s">
        <v>329</v>
      </c>
      <c r="E56" s="56" t="n">
        <f aca="false">'Regular Finish – Top 3'!I25+'Regular Finish – Top 3'!K25</f>
        <v>0.44</v>
      </c>
      <c r="F56" s="57" t="n">
        <f aca="false">'Regular Finish – Top 3'!L25</f>
        <v>1.38</v>
      </c>
      <c r="G56" s="26" t="n">
        <f aca="false">E56*F56*(1+Inputs!$B$29)</f>
        <v>0.6072</v>
      </c>
      <c r="H56" s="26" t="n">
        <v>0</v>
      </c>
      <c r="I56" s="26" t="n">
        <f aca="false">(Inputs!$B$25+Inputs!$B$26)/(2*Inputs!$B$5)</f>
        <v>0.52</v>
      </c>
      <c r="J56" s="43" t="n">
        <f aca="false">G56+H56+I56</f>
        <v>1.1272</v>
      </c>
      <c r="K56" s="26" t="n">
        <v>0</v>
      </c>
      <c r="L56" s="43" t="n">
        <f aca="false">J56+K56</f>
        <v>1.1272</v>
      </c>
      <c r="M56" s="39" t="n">
        <f aca="false">Inputs!$B$5</f>
        <v>2000</v>
      </c>
      <c r="N56" s="44" t="n">
        <f aca="false">J56*M56</f>
        <v>2254.4</v>
      </c>
      <c r="O56" s="44" t="n">
        <f aca="false">L56*M56</f>
        <v>2254.4</v>
      </c>
    </row>
    <row r="57" customFormat="false" ht="15" hidden="false" customHeight="false" outlineLevel="0" collapsed="false">
      <c r="A57" s="34" t="s">
        <v>324</v>
      </c>
      <c r="B57" s="9" t="s">
        <v>328</v>
      </c>
      <c r="C57" s="14" t="str">
        <f aca="false">'Regular Finish – Top 3'!B26</f>
        <v>180–190 ml</v>
      </c>
      <c r="D57" s="34" t="s">
        <v>329</v>
      </c>
      <c r="E57" s="56" t="n">
        <f aca="false">'Regular Finish – Top 3'!I26+'Regular Finish – Top 3'!K26</f>
        <v>0.44</v>
      </c>
      <c r="F57" s="57" t="n">
        <f aca="false">'Regular Finish – Top 3'!L26</f>
        <v>1.38</v>
      </c>
      <c r="G57" s="26" t="n">
        <f aca="false">E57*F57*(1+Inputs!$B$29)</f>
        <v>0.6072</v>
      </c>
      <c r="H57" s="26" t="n">
        <v>0</v>
      </c>
      <c r="I57" s="26" t="n">
        <f aca="false">(Inputs!$B$25+Inputs!$B$26)/(2*Inputs!$B$5)</f>
        <v>0.52</v>
      </c>
      <c r="J57" s="43" t="n">
        <f aca="false">G57+H57+I57</f>
        <v>1.1272</v>
      </c>
      <c r="K57" s="26" t="n">
        <v>0</v>
      </c>
      <c r="L57" s="43" t="n">
        <f aca="false">J57+K57</f>
        <v>1.1272</v>
      </c>
      <c r="M57" s="39" t="n">
        <f aca="false">Inputs!$B$5</f>
        <v>2000</v>
      </c>
      <c r="N57" s="44" t="n">
        <f aca="false">J57*M57</f>
        <v>2254.4</v>
      </c>
      <c r="O57" s="44" t="n">
        <f aca="false">L57*M57</f>
        <v>2254.4</v>
      </c>
    </row>
    <row r="58" customFormat="false" ht="15" hidden="false" customHeight="false" outlineLevel="0" collapsed="false">
      <c r="A58" s="34" t="s">
        <v>325</v>
      </c>
      <c r="B58" s="9" t="s">
        <v>335</v>
      </c>
      <c r="C58" s="14" t="str">
        <f aca="false">'Regular Finish – Top 3'!B36</f>
        <v>9 oz</v>
      </c>
      <c r="D58" s="34" t="s">
        <v>336</v>
      </c>
      <c r="E58" s="56" t="n">
        <f aca="false">'Regular Finish – Top 3'!I36+'Regular Finish – Top 3'!K36</f>
        <v>1.24</v>
      </c>
      <c r="F58" s="57" t="n">
        <f aca="false">'Regular Finish – Top 3'!L36</f>
        <v>1</v>
      </c>
      <c r="G58" s="26" t="n">
        <f aca="false">E58*F58*(1+Inputs!$B$29)</f>
        <v>1.24</v>
      </c>
      <c r="H58" s="26" t="n">
        <v>0</v>
      </c>
      <c r="I58" s="26" t="n">
        <f aca="false">Inputs!$B$23/Inputs!$B$5</f>
        <v>0.15</v>
      </c>
      <c r="J58" s="43" t="n">
        <f aca="false">G58+H58+I58</f>
        <v>1.39</v>
      </c>
      <c r="K58" s="26" t="n">
        <v>0</v>
      </c>
      <c r="L58" s="43" t="n">
        <f aca="false">J58+K58</f>
        <v>1.39</v>
      </c>
      <c r="M58" s="39" t="n">
        <f aca="false">Inputs!$B$5</f>
        <v>2000</v>
      </c>
      <c r="N58" s="44" t="n">
        <f aca="false">J58*M58</f>
        <v>2780</v>
      </c>
      <c r="O58" s="44" t="n">
        <f aca="false">L58*M58</f>
        <v>2780</v>
      </c>
    </row>
    <row r="59" customFormat="false" ht="15" hidden="false" customHeight="false" outlineLevel="0" collapsed="false">
      <c r="A59" s="46" t="s">
        <v>326</v>
      </c>
      <c r="B59" s="47"/>
      <c r="C59" s="47"/>
      <c r="D59" s="47"/>
      <c r="E59" s="47"/>
      <c r="F59" s="47"/>
      <c r="G59" s="47"/>
      <c r="H59" s="47"/>
      <c r="I59" s="47"/>
      <c r="J59" s="43" t="n">
        <f aca="false">N59/M59</f>
        <v>1.2148</v>
      </c>
      <c r="K59" s="47"/>
      <c r="L59" s="43" t="n">
        <f aca="false">O59/M59</f>
        <v>1.2148</v>
      </c>
      <c r="M59" s="48" t="n">
        <f aca="false">SUM(M56:M58)</f>
        <v>6000</v>
      </c>
      <c r="N59" s="49" t="n">
        <f aca="false">SUM(N56:N58)</f>
        <v>7288.8</v>
      </c>
      <c r="O59" s="49" t="n">
        <f aca="false">SUM(O56:O58)</f>
        <v>7288.8</v>
      </c>
    </row>
    <row r="61" customFormat="false" ht="15" hidden="false" customHeight="false" outlineLevel="0" collapsed="false">
      <c r="A61" s="6" t="s">
        <v>337</v>
      </c>
      <c r="B61" s="6"/>
      <c r="C61" s="6"/>
      <c r="D61" s="6"/>
      <c r="E61" s="6"/>
      <c r="F61" s="6"/>
      <c r="G61" s="6"/>
      <c r="H61" s="6"/>
      <c r="I61" s="6"/>
      <c r="J61" s="6"/>
      <c r="K61" s="6"/>
      <c r="L61" s="6"/>
      <c r="M61" s="6"/>
      <c r="N61" s="6"/>
      <c r="O61" s="6"/>
    </row>
    <row r="62" customFormat="false" ht="42" hidden="false" customHeight="true" outlineLevel="0" collapsed="false">
      <c r="A62" s="7" t="s">
        <v>177</v>
      </c>
      <c r="B62" s="7" t="s">
        <v>312</v>
      </c>
      <c r="C62" s="7" t="s">
        <v>139</v>
      </c>
      <c r="D62" s="7" t="s">
        <v>313</v>
      </c>
      <c r="E62" s="7" t="s">
        <v>314</v>
      </c>
      <c r="F62" s="7" t="s">
        <v>315</v>
      </c>
      <c r="G62" s="7" t="s">
        <v>316</v>
      </c>
      <c r="H62" s="7" t="s">
        <v>317</v>
      </c>
      <c r="I62" s="7" t="s">
        <v>318</v>
      </c>
      <c r="J62" s="7" t="s">
        <v>192</v>
      </c>
      <c r="K62" s="7" t="s">
        <v>319</v>
      </c>
      <c r="L62" s="7" t="s">
        <v>320</v>
      </c>
      <c r="M62" s="7" t="s">
        <v>181</v>
      </c>
      <c r="N62" s="7" t="s">
        <v>193</v>
      </c>
      <c r="O62" s="7" t="s">
        <v>196</v>
      </c>
    </row>
    <row r="63" customFormat="false" ht="15" hidden="false" customHeight="false" outlineLevel="0" collapsed="false">
      <c r="A63" s="34" t="s">
        <v>321</v>
      </c>
      <c r="B63" s="9" t="s">
        <v>328</v>
      </c>
      <c r="C63" s="14" t="str">
        <f aca="false">'Regular Finish – Top 3'!B25</f>
        <v>120 ml</v>
      </c>
      <c r="D63" s="34" t="s">
        <v>329</v>
      </c>
      <c r="E63" s="56" t="n">
        <f aca="false">'Regular Finish – Top 3'!I25+'Regular Finish – Top 3'!K25</f>
        <v>0.44</v>
      </c>
      <c r="F63" s="57" t="n">
        <f aca="false">'Regular Finish – Top 3'!L25</f>
        <v>1.38</v>
      </c>
      <c r="G63" s="26" t="n">
        <f aca="false">E63*F63*(1+Inputs!$B$29)</f>
        <v>0.6072</v>
      </c>
      <c r="H63" s="26" t="n">
        <v>0</v>
      </c>
      <c r="I63" s="26" t="n">
        <f aca="false">(Inputs!$B$18+Inputs!$B$26)/(Inputs!$B$5*Inputs!$B$6)</f>
        <v>0.413333333333333</v>
      </c>
      <c r="J63" s="43" t="n">
        <f aca="false">G63+H63+I63</f>
        <v>1.02053333333333</v>
      </c>
      <c r="K63" s="26" t="n">
        <v>0</v>
      </c>
      <c r="L63" s="43" t="n">
        <f aca="false">J63+K63</f>
        <v>1.02053333333333</v>
      </c>
      <c r="M63" s="39" t="n">
        <f aca="false">Inputs!$B$5</f>
        <v>2000</v>
      </c>
      <c r="N63" s="44" t="n">
        <f aca="false">J63*M63</f>
        <v>2041.06666666667</v>
      </c>
      <c r="O63" s="44" t="n">
        <f aca="false">L63*M63</f>
        <v>2041.06666666667</v>
      </c>
    </row>
    <row r="64" customFormat="false" ht="15" hidden="false" customHeight="false" outlineLevel="0" collapsed="false">
      <c r="A64" s="34" t="s">
        <v>324</v>
      </c>
      <c r="B64" s="9" t="s">
        <v>328</v>
      </c>
      <c r="C64" s="14" t="str">
        <f aca="false">'Regular Finish – Top 3'!B26</f>
        <v>180–190 ml</v>
      </c>
      <c r="D64" s="34" t="s">
        <v>329</v>
      </c>
      <c r="E64" s="56" t="n">
        <f aca="false">'Regular Finish – Top 3'!I26+'Regular Finish – Top 3'!K26</f>
        <v>0.44</v>
      </c>
      <c r="F64" s="57" t="n">
        <f aca="false">'Regular Finish – Top 3'!L26</f>
        <v>1.38</v>
      </c>
      <c r="G64" s="26" t="n">
        <f aca="false">E64*F64*(1+Inputs!$B$29)</f>
        <v>0.6072</v>
      </c>
      <c r="H64" s="26" t="n">
        <v>0</v>
      </c>
      <c r="I64" s="26" t="n">
        <f aca="false">(Inputs!$B$18+Inputs!$B$26)/(Inputs!$B$5*Inputs!$B$6)</f>
        <v>0.413333333333333</v>
      </c>
      <c r="J64" s="43" t="n">
        <f aca="false">G64+H64+I64</f>
        <v>1.02053333333333</v>
      </c>
      <c r="K64" s="26" t="n">
        <v>0</v>
      </c>
      <c r="L64" s="43" t="n">
        <f aca="false">J64+K64</f>
        <v>1.02053333333333</v>
      </c>
      <c r="M64" s="39" t="n">
        <f aca="false">Inputs!$B$5</f>
        <v>2000</v>
      </c>
      <c r="N64" s="44" t="n">
        <f aca="false">J64*M64</f>
        <v>2041.06666666667</v>
      </c>
      <c r="O64" s="44" t="n">
        <f aca="false">L64*M64</f>
        <v>2041.06666666667</v>
      </c>
    </row>
    <row r="65" customFormat="false" ht="15" hidden="false" customHeight="false" outlineLevel="0" collapsed="false">
      <c r="A65" s="34" t="s">
        <v>325</v>
      </c>
      <c r="B65" s="9" t="s">
        <v>328</v>
      </c>
      <c r="C65" s="14" t="str">
        <f aca="false">'Regular Finish – Top 3'!B27</f>
        <v>250–270 ml</v>
      </c>
      <c r="D65" s="34" t="s">
        <v>329</v>
      </c>
      <c r="E65" s="56" t="n">
        <f aca="false">'Regular Finish – Top 3'!I27+'Regular Finish – Top 3'!K27</f>
        <v>0.46</v>
      </c>
      <c r="F65" s="57" t="n">
        <f aca="false">'Regular Finish – Top 3'!L27</f>
        <v>1.38</v>
      </c>
      <c r="G65" s="26" t="n">
        <f aca="false">E65*F65*(1+Inputs!$B$29)</f>
        <v>0.6348</v>
      </c>
      <c r="H65" s="26" t="n">
        <v>0</v>
      </c>
      <c r="I65" s="26" t="n">
        <f aca="false">(Inputs!$B$18+Inputs!$B$26)/(Inputs!$B$5*Inputs!$B$6)</f>
        <v>0.413333333333333</v>
      </c>
      <c r="J65" s="43" t="n">
        <f aca="false">G65+H65+I65</f>
        <v>1.04813333333333</v>
      </c>
      <c r="K65" s="26" t="n">
        <v>0</v>
      </c>
      <c r="L65" s="43" t="n">
        <f aca="false">J65+K65</f>
        <v>1.04813333333333</v>
      </c>
      <c r="M65" s="39" t="n">
        <f aca="false">Inputs!$B$5</f>
        <v>2000</v>
      </c>
      <c r="N65" s="44" t="n">
        <f aca="false">J65*M65</f>
        <v>2096.26666666667</v>
      </c>
      <c r="O65" s="44" t="n">
        <f aca="false">L65*M65</f>
        <v>2096.26666666667</v>
      </c>
    </row>
    <row r="66" customFormat="false" ht="15" hidden="false" customHeight="false" outlineLevel="0" collapsed="false">
      <c r="A66" s="46" t="s">
        <v>326</v>
      </c>
      <c r="B66" s="47"/>
      <c r="C66" s="47"/>
      <c r="D66" s="47"/>
      <c r="E66" s="47"/>
      <c r="F66" s="47"/>
      <c r="G66" s="47"/>
      <c r="H66" s="47"/>
      <c r="I66" s="47"/>
      <c r="J66" s="43" t="n">
        <f aca="false">N66/M66</f>
        <v>1.02973333333333</v>
      </c>
      <c r="K66" s="47"/>
      <c r="L66" s="43" t="n">
        <f aca="false">O66/M66</f>
        <v>1.02973333333333</v>
      </c>
      <c r="M66" s="48" t="n">
        <f aca="false">SUM(M63:M65)</f>
        <v>6000</v>
      </c>
      <c r="N66" s="49" t="n">
        <f aca="false">SUM(N63:N65)</f>
        <v>6178.4</v>
      </c>
      <c r="O66" s="49" t="n">
        <f aca="false">SUM(O63:O65)</f>
        <v>6178.4</v>
      </c>
    </row>
    <row r="68" customFormat="false" ht="15" hidden="false" customHeight="false" outlineLevel="0" collapsed="false">
      <c r="A68" s="55" t="s">
        <v>338</v>
      </c>
    </row>
    <row r="69" customFormat="false" ht="15" hidden="false" customHeight="false" outlineLevel="0" collapsed="false">
      <c r="A69" s="6" t="s">
        <v>339</v>
      </c>
      <c r="B69" s="6"/>
      <c r="C69" s="6"/>
      <c r="D69" s="6"/>
      <c r="E69" s="6"/>
      <c r="F69" s="6"/>
      <c r="G69" s="6"/>
      <c r="H69" s="6"/>
      <c r="I69" s="6"/>
      <c r="J69" s="6"/>
      <c r="K69" s="6"/>
      <c r="L69" s="6"/>
      <c r="M69" s="6"/>
      <c r="N69" s="6"/>
      <c r="O69" s="6"/>
    </row>
    <row r="70" customFormat="false" ht="42" hidden="false" customHeight="true" outlineLevel="0" collapsed="false">
      <c r="A70" s="7" t="s">
        <v>177</v>
      </c>
      <c r="B70" s="7" t="s">
        <v>312</v>
      </c>
      <c r="C70" s="7" t="s">
        <v>139</v>
      </c>
      <c r="D70" s="7" t="s">
        <v>313</v>
      </c>
      <c r="E70" s="7" t="s">
        <v>314</v>
      </c>
      <c r="F70" s="7" t="s">
        <v>315</v>
      </c>
      <c r="G70" s="7" t="s">
        <v>316</v>
      </c>
      <c r="H70" s="7" t="s">
        <v>317</v>
      </c>
      <c r="I70" s="7" t="s">
        <v>318</v>
      </c>
      <c r="J70" s="7" t="s">
        <v>192</v>
      </c>
      <c r="K70" s="7" t="s">
        <v>319</v>
      </c>
      <c r="L70" s="7" t="s">
        <v>320</v>
      </c>
      <c r="M70" s="7" t="s">
        <v>181</v>
      </c>
      <c r="N70" s="7" t="s">
        <v>193</v>
      </c>
      <c r="O70" s="7" t="s">
        <v>196</v>
      </c>
    </row>
    <row r="71" customFormat="false" ht="15" hidden="false" customHeight="false" outlineLevel="0" collapsed="false">
      <c r="A71" s="34" t="s">
        <v>321</v>
      </c>
      <c r="B71" s="9" t="s">
        <v>340</v>
      </c>
      <c r="C71" s="14" t="str">
        <f aca="false">'Regular Finish – Top 3'!B7</f>
        <v>4 oz</v>
      </c>
      <c r="D71" s="34" t="s">
        <v>323</v>
      </c>
      <c r="E71" s="56" t="n">
        <f aca="false">'Regular Finish – Top 3'!I7+'Regular Finish – Top 3'!K7</f>
        <v>0.617083333333333</v>
      </c>
      <c r="F71" s="57" t="n">
        <f aca="false">'Regular Finish – Top 3'!L7</f>
        <v>1.38</v>
      </c>
      <c r="G71" s="26" t="n">
        <f aca="false">E71*F71*(1+Inputs!$B$29)</f>
        <v>0.851575</v>
      </c>
      <c r="H71" s="26" t="n">
        <f aca="false">Inputs!$B$33+(Inputs!$B$34*Inputs!$B$6+Inputs!$B$35)/(Inputs!$B$5*Inputs!$B$6)</f>
        <v>0.825</v>
      </c>
      <c r="I71" s="26" t="n">
        <f aca="false">(Inputs!$B$15*Inputs!$B$7+Inputs!$B$16)/(Inputs!$B$5*Inputs!$B$6)</f>
        <v>0.279</v>
      </c>
      <c r="J71" s="43" t="n">
        <f aca="false">G71+H71+I71</f>
        <v>1.955575</v>
      </c>
      <c r="K71" s="26" t="n">
        <f aca="false">G71*Inputs!$B$30</f>
        <v>0.4257875</v>
      </c>
      <c r="L71" s="43" t="n">
        <f aca="false">J71+K71</f>
        <v>2.3813625</v>
      </c>
      <c r="M71" s="39" t="n">
        <f aca="false">Inputs!$B$5</f>
        <v>2000</v>
      </c>
      <c r="N71" s="44" t="n">
        <f aca="false">J71*M71</f>
        <v>3911.15</v>
      </c>
      <c r="O71" s="44" t="n">
        <f aca="false">L71*M71</f>
        <v>4762.725</v>
      </c>
    </row>
    <row r="72" customFormat="false" ht="15" hidden="false" customHeight="false" outlineLevel="0" collapsed="false">
      <c r="A72" s="34" t="s">
        <v>324</v>
      </c>
      <c r="B72" s="9" t="s">
        <v>340</v>
      </c>
      <c r="C72" s="14" t="str">
        <f aca="false">'Regular Finish – Top 3'!B8</f>
        <v>6 oz</v>
      </c>
      <c r="D72" s="34" t="s">
        <v>323</v>
      </c>
      <c r="E72" s="56" t="n">
        <f aca="false">'Regular Finish – Top 3'!I8+'Regular Finish – Top 3'!K8</f>
        <v>0.615833333333333</v>
      </c>
      <c r="F72" s="57" t="n">
        <f aca="false">'Regular Finish – Top 3'!L8</f>
        <v>1.38</v>
      </c>
      <c r="G72" s="26" t="n">
        <f aca="false">E72*F72*(1+Inputs!$B$29)</f>
        <v>0.84985</v>
      </c>
      <c r="H72" s="26" t="n">
        <f aca="false">Inputs!$B$33+(Inputs!$B$34*Inputs!$B$6+Inputs!$B$35)/(Inputs!$B$5*Inputs!$B$6)</f>
        <v>0.825</v>
      </c>
      <c r="I72" s="26" t="n">
        <f aca="false">(Inputs!$B$15*Inputs!$B$7+Inputs!$B$16)/(Inputs!$B$5*Inputs!$B$6)</f>
        <v>0.279</v>
      </c>
      <c r="J72" s="43" t="n">
        <f aca="false">G72+H72+I72</f>
        <v>1.95385</v>
      </c>
      <c r="K72" s="26" t="n">
        <f aca="false">G72*Inputs!$B$30</f>
        <v>0.424925</v>
      </c>
      <c r="L72" s="43" t="n">
        <f aca="false">J72+K72</f>
        <v>2.378775</v>
      </c>
      <c r="M72" s="39" t="n">
        <f aca="false">Inputs!$B$5</f>
        <v>2000</v>
      </c>
      <c r="N72" s="44" t="n">
        <f aca="false">J72*M72</f>
        <v>3907.7</v>
      </c>
      <c r="O72" s="44" t="n">
        <f aca="false">L72*M72</f>
        <v>4757.55</v>
      </c>
    </row>
    <row r="73" customFormat="false" ht="15" hidden="false" customHeight="false" outlineLevel="0" collapsed="false">
      <c r="A73" s="34" t="s">
        <v>325</v>
      </c>
      <c r="B73" s="9" t="s">
        <v>340</v>
      </c>
      <c r="C73" s="14" t="str">
        <f aca="false">'Regular Finish – Top 3'!B9</f>
        <v>9 oz</v>
      </c>
      <c r="D73" s="34" t="s">
        <v>323</v>
      </c>
      <c r="E73" s="56" t="n">
        <f aca="false">'Regular Finish – Top 3'!I9+'Regular Finish – Top 3'!K9</f>
        <v>0.586666666666667</v>
      </c>
      <c r="F73" s="57" t="n">
        <f aca="false">'Regular Finish – Top 3'!L9</f>
        <v>1.38</v>
      </c>
      <c r="G73" s="26" t="n">
        <f aca="false">E73*F73*(1+Inputs!$B$29)</f>
        <v>0.8096</v>
      </c>
      <c r="H73" s="26" t="n">
        <f aca="false">Inputs!$B$33+(Inputs!$B$34*Inputs!$B$6+Inputs!$B$35)/(Inputs!$B$5*Inputs!$B$6)</f>
        <v>0.825</v>
      </c>
      <c r="I73" s="26" t="n">
        <f aca="false">(Inputs!$B$15*Inputs!$B$7+Inputs!$B$16)/(Inputs!$B$5*Inputs!$B$6)</f>
        <v>0.279</v>
      </c>
      <c r="J73" s="43" t="n">
        <f aca="false">G73+H73+I73</f>
        <v>1.9136</v>
      </c>
      <c r="K73" s="26" t="n">
        <f aca="false">G73*Inputs!$B$30</f>
        <v>0.4048</v>
      </c>
      <c r="L73" s="43" t="n">
        <f aca="false">J73+K73</f>
        <v>2.3184</v>
      </c>
      <c r="M73" s="39" t="n">
        <f aca="false">Inputs!$B$5</f>
        <v>2000</v>
      </c>
      <c r="N73" s="44" t="n">
        <f aca="false">J73*M73</f>
        <v>3827.2</v>
      </c>
      <c r="O73" s="44" t="n">
        <f aca="false">L73*M73</f>
        <v>4636.8</v>
      </c>
    </row>
    <row r="74" customFormat="false" ht="15" hidden="false" customHeight="false" outlineLevel="0" collapsed="false">
      <c r="A74" s="46" t="s">
        <v>326</v>
      </c>
      <c r="B74" s="47"/>
      <c r="C74" s="47"/>
      <c r="D74" s="47"/>
      <c r="E74" s="47"/>
      <c r="F74" s="47"/>
      <c r="G74" s="47"/>
      <c r="H74" s="47"/>
      <c r="I74" s="47"/>
      <c r="J74" s="43" t="n">
        <f aca="false">N74/M74</f>
        <v>1.94100833333333</v>
      </c>
      <c r="K74" s="47"/>
      <c r="L74" s="43" t="n">
        <f aca="false">O74/M74</f>
        <v>2.3595125</v>
      </c>
      <c r="M74" s="48" t="n">
        <f aca="false">SUM(M71:M73)</f>
        <v>6000</v>
      </c>
      <c r="N74" s="49" t="n">
        <f aca="false">SUM(N71:N73)</f>
        <v>11646.05</v>
      </c>
      <c r="O74" s="49" t="n">
        <f aca="false">SUM(O71:O73)</f>
        <v>14157.075</v>
      </c>
    </row>
    <row r="76" customFormat="false" ht="15" hidden="false" customHeight="false" outlineLevel="0" collapsed="false">
      <c r="A76" s="6" t="s">
        <v>341</v>
      </c>
      <c r="B76" s="6"/>
      <c r="C76" s="6"/>
      <c r="D76" s="6"/>
      <c r="E76" s="6"/>
      <c r="F76" s="6"/>
      <c r="G76" s="6"/>
      <c r="H76" s="6"/>
      <c r="I76" s="6"/>
      <c r="J76" s="6"/>
      <c r="K76" s="6"/>
      <c r="L76" s="6"/>
      <c r="M76" s="6"/>
      <c r="N76" s="6"/>
      <c r="O76" s="6"/>
    </row>
    <row r="77" customFormat="false" ht="42" hidden="false" customHeight="true" outlineLevel="0" collapsed="false">
      <c r="A77" s="7" t="s">
        <v>177</v>
      </c>
      <c r="B77" s="7" t="s">
        <v>312</v>
      </c>
      <c r="C77" s="7" t="s">
        <v>139</v>
      </c>
      <c r="D77" s="7" t="s">
        <v>313</v>
      </c>
      <c r="E77" s="7" t="s">
        <v>314</v>
      </c>
      <c r="F77" s="7" t="s">
        <v>315</v>
      </c>
      <c r="G77" s="7" t="s">
        <v>316</v>
      </c>
      <c r="H77" s="7" t="s">
        <v>317</v>
      </c>
      <c r="I77" s="7" t="s">
        <v>318</v>
      </c>
      <c r="J77" s="7" t="s">
        <v>192</v>
      </c>
      <c r="K77" s="7" t="s">
        <v>319</v>
      </c>
      <c r="L77" s="7" t="s">
        <v>320</v>
      </c>
      <c r="M77" s="7" t="s">
        <v>181</v>
      </c>
      <c r="N77" s="7" t="s">
        <v>193</v>
      </c>
      <c r="O77" s="7" t="s">
        <v>196</v>
      </c>
    </row>
    <row r="78" customFormat="false" ht="15" hidden="false" customHeight="false" outlineLevel="0" collapsed="false">
      <c r="A78" s="34" t="s">
        <v>321</v>
      </c>
      <c r="B78" s="9" t="s">
        <v>342</v>
      </c>
      <c r="C78" s="14" t="str">
        <f aca="false">'Frosted Finish – Top 3'!B7</f>
        <v>120 ml</v>
      </c>
      <c r="D78" s="34" t="s">
        <v>329</v>
      </c>
      <c r="E78" s="56" t="n">
        <f aca="false">'Frosted Finish – Top 3'!I7+'Frosted Finish – Top 3'!K7</f>
        <v>0.5</v>
      </c>
      <c r="F78" s="57" t="n">
        <f aca="false">'Frosted Finish – Top 3'!L7</f>
        <v>1.38</v>
      </c>
      <c r="G78" s="26" t="n">
        <f aca="false">E78*F78*(1+Inputs!$B$29)</f>
        <v>0.69</v>
      </c>
      <c r="H78" s="26" t="n">
        <v>0</v>
      </c>
      <c r="I78" s="26" t="n">
        <f aca="false">(Inputs!$B$24+Inputs!$B$26)/(2*Inputs!$B$5)</f>
        <v>0.545</v>
      </c>
      <c r="J78" s="43" t="n">
        <f aca="false">G78+H78+I78</f>
        <v>1.235</v>
      </c>
      <c r="K78" s="26" t="n">
        <v>0</v>
      </c>
      <c r="L78" s="43" t="n">
        <f aca="false">J78+K78</f>
        <v>1.235</v>
      </c>
      <c r="M78" s="39" t="n">
        <f aca="false">Inputs!$B$5</f>
        <v>2000</v>
      </c>
      <c r="N78" s="44" t="n">
        <f aca="false">J78*M78</f>
        <v>2470</v>
      </c>
      <c r="O78" s="44" t="n">
        <f aca="false">L78*M78</f>
        <v>2470</v>
      </c>
    </row>
    <row r="79" customFormat="false" ht="15" hidden="false" customHeight="false" outlineLevel="0" collapsed="false">
      <c r="A79" s="34" t="s">
        <v>324</v>
      </c>
      <c r="B79" s="9" t="s">
        <v>343</v>
      </c>
      <c r="C79" s="14" t="str">
        <f aca="false">'Regular Finish – Top 3'!B8</f>
        <v>6 oz</v>
      </c>
      <c r="D79" s="34" t="s">
        <v>323</v>
      </c>
      <c r="E79" s="56" t="n">
        <f aca="false">'Regular Finish – Top 3'!I8+'Regular Finish – Top 3'!K8</f>
        <v>0.615833333333333</v>
      </c>
      <c r="F79" s="57" t="n">
        <f aca="false">'Regular Finish – Top 3'!L8</f>
        <v>1.38</v>
      </c>
      <c r="G79" s="26" t="n">
        <f aca="false">E79*F79*(1+Inputs!$B$29)</f>
        <v>0.84985</v>
      </c>
      <c r="H79" s="26" t="n">
        <f aca="false">Inputs!$B$33+(Inputs!$B$34+Inputs!$B$35)/Inputs!$B$5</f>
        <v>0.925</v>
      </c>
      <c r="I79" s="26" t="n">
        <f aca="false">(Inputs!$B$21*Inputs!$B$7+Inputs!$B$22)/Inputs!$B$5</f>
        <v>0.3635</v>
      </c>
      <c r="J79" s="43" t="n">
        <f aca="false">G79+H79+I79</f>
        <v>2.13835</v>
      </c>
      <c r="K79" s="26" t="n">
        <f aca="false">G79*Inputs!$B$30</f>
        <v>0.424925</v>
      </c>
      <c r="L79" s="43" t="n">
        <f aca="false">J79+K79</f>
        <v>2.563275</v>
      </c>
      <c r="M79" s="39" t="n">
        <f aca="false">Inputs!$B$5</f>
        <v>2000</v>
      </c>
      <c r="N79" s="44" t="n">
        <f aca="false">J79*M79</f>
        <v>4276.7</v>
      </c>
      <c r="O79" s="44" t="n">
        <f aca="false">L79*M79</f>
        <v>5126.55</v>
      </c>
    </row>
    <row r="80" customFormat="false" ht="15" hidden="false" customHeight="false" outlineLevel="0" collapsed="false">
      <c r="A80" s="34" t="s">
        <v>325</v>
      </c>
      <c r="B80" s="9" t="s">
        <v>342</v>
      </c>
      <c r="C80" s="14" t="str">
        <f aca="false">'Frosted Finish – Top 3'!B9</f>
        <v>250–270 ml</v>
      </c>
      <c r="D80" s="34" t="s">
        <v>329</v>
      </c>
      <c r="E80" s="56" t="n">
        <f aca="false">'Frosted Finish – Top 3'!I9+'Frosted Finish – Top 3'!K9</f>
        <v>0.52</v>
      </c>
      <c r="F80" s="57" t="n">
        <f aca="false">'Frosted Finish – Top 3'!L9</f>
        <v>1.38</v>
      </c>
      <c r="G80" s="26" t="n">
        <f aca="false">E80*F80*(1+Inputs!$B$29)</f>
        <v>0.7176</v>
      </c>
      <c r="H80" s="26" t="n">
        <v>0</v>
      </c>
      <c r="I80" s="26" t="n">
        <f aca="false">(Inputs!$B$24+Inputs!$B$26)/(2*Inputs!$B$5)</f>
        <v>0.545</v>
      </c>
      <c r="J80" s="43" t="n">
        <f aca="false">G80+H80+I80</f>
        <v>1.2626</v>
      </c>
      <c r="K80" s="26" t="n">
        <v>0</v>
      </c>
      <c r="L80" s="43" t="n">
        <f aca="false">J80+K80</f>
        <v>1.2626</v>
      </c>
      <c r="M80" s="39" t="n">
        <f aca="false">Inputs!$B$5</f>
        <v>2000</v>
      </c>
      <c r="N80" s="44" t="n">
        <f aca="false">J80*M80</f>
        <v>2525.2</v>
      </c>
      <c r="O80" s="44" t="n">
        <f aca="false">L80*M80</f>
        <v>2525.2</v>
      </c>
    </row>
    <row r="81" customFormat="false" ht="15" hidden="false" customHeight="false" outlineLevel="0" collapsed="false">
      <c r="A81" s="46" t="s">
        <v>326</v>
      </c>
      <c r="B81" s="47"/>
      <c r="C81" s="47"/>
      <c r="D81" s="47"/>
      <c r="E81" s="47"/>
      <c r="F81" s="47"/>
      <c r="G81" s="47"/>
      <c r="H81" s="47"/>
      <c r="I81" s="47"/>
      <c r="J81" s="43" t="n">
        <f aca="false">N81/M81</f>
        <v>1.54531666666667</v>
      </c>
      <c r="K81" s="47"/>
      <c r="L81" s="43" t="n">
        <f aca="false">O81/M81</f>
        <v>1.68695833333333</v>
      </c>
      <c r="M81" s="48" t="n">
        <f aca="false">SUM(M78:M80)</f>
        <v>6000</v>
      </c>
      <c r="N81" s="49" t="n">
        <f aca="false">SUM(N78:N80)</f>
        <v>9271.9</v>
      </c>
      <c r="O81" s="49" t="n">
        <f aca="false">SUM(O78:O80)</f>
        <v>10121.75</v>
      </c>
    </row>
    <row r="83" customFormat="false" ht="15" hidden="false" customHeight="false" outlineLevel="0" collapsed="false">
      <c r="A83" s="6" t="s">
        <v>344</v>
      </c>
      <c r="B83" s="6"/>
      <c r="C83" s="6"/>
      <c r="D83" s="6"/>
      <c r="E83" s="6"/>
      <c r="F83" s="6"/>
      <c r="G83" s="6"/>
      <c r="H83" s="6"/>
      <c r="I83" s="6"/>
      <c r="J83" s="6"/>
      <c r="K83" s="6"/>
      <c r="L83" s="6"/>
      <c r="M83" s="6"/>
      <c r="N83" s="6"/>
      <c r="O83" s="6"/>
    </row>
    <row r="84" customFormat="false" ht="42" hidden="false" customHeight="true" outlineLevel="0" collapsed="false">
      <c r="A84" s="7" t="s">
        <v>177</v>
      </c>
      <c r="B84" s="7" t="s">
        <v>312</v>
      </c>
      <c r="C84" s="7" t="s">
        <v>139</v>
      </c>
      <c r="D84" s="7" t="s">
        <v>313</v>
      </c>
      <c r="E84" s="7" t="s">
        <v>314</v>
      </c>
      <c r="F84" s="7" t="s">
        <v>315</v>
      </c>
      <c r="G84" s="7" t="s">
        <v>316</v>
      </c>
      <c r="H84" s="7" t="s">
        <v>317</v>
      </c>
      <c r="I84" s="7" t="s">
        <v>318</v>
      </c>
      <c r="J84" s="7" t="s">
        <v>192</v>
      </c>
      <c r="K84" s="7" t="s">
        <v>319</v>
      </c>
      <c r="L84" s="7" t="s">
        <v>320</v>
      </c>
      <c r="M84" s="7" t="s">
        <v>181</v>
      </c>
      <c r="N84" s="7" t="s">
        <v>193</v>
      </c>
      <c r="O84" s="7" t="s">
        <v>196</v>
      </c>
    </row>
    <row r="85" customFormat="false" ht="15" hidden="false" customHeight="false" outlineLevel="0" collapsed="false">
      <c r="A85" s="34" t="s">
        <v>321</v>
      </c>
      <c r="B85" s="9" t="s">
        <v>342</v>
      </c>
      <c r="C85" s="14" t="str">
        <f aca="false">'Frosted Finish – Top 3'!B7</f>
        <v>120 ml</v>
      </c>
      <c r="D85" s="34" t="s">
        <v>329</v>
      </c>
      <c r="E85" s="56" t="n">
        <f aca="false">'Frosted Finish – Top 3'!I7+'Frosted Finish – Top 3'!K7</f>
        <v>0.5</v>
      </c>
      <c r="F85" s="57" t="n">
        <f aca="false">'Frosted Finish – Top 3'!L7</f>
        <v>1.38</v>
      </c>
      <c r="G85" s="26" t="n">
        <f aca="false">E85*F85*(1+Inputs!$B$29)</f>
        <v>0.69</v>
      </c>
      <c r="H85" s="26" t="n">
        <v>0</v>
      </c>
      <c r="I85" s="26" t="n">
        <f aca="false">(Inputs!$B$25+Inputs!$B$26)/(2*Inputs!$B$5)</f>
        <v>0.52</v>
      </c>
      <c r="J85" s="43" t="n">
        <f aca="false">G85+H85+I85</f>
        <v>1.21</v>
      </c>
      <c r="K85" s="26" t="n">
        <v>0</v>
      </c>
      <c r="L85" s="43" t="n">
        <f aca="false">J85+K85</f>
        <v>1.21</v>
      </c>
      <c r="M85" s="39" t="n">
        <f aca="false">Inputs!$B$5</f>
        <v>2000</v>
      </c>
      <c r="N85" s="44" t="n">
        <f aca="false">J85*M85</f>
        <v>2420</v>
      </c>
      <c r="O85" s="44" t="n">
        <f aca="false">L85*M85</f>
        <v>2420</v>
      </c>
    </row>
    <row r="86" customFormat="false" ht="15" hidden="false" customHeight="false" outlineLevel="0" collapsed="false">
      <c r="A86" s="34" t="s">
        <v>324</v>
      </c>
      <c r="B86" s="9" t="s">
        <v>342</v>
      </c>
      <c r="C86" s="14" t="str">
        <f aca="false">'Frosted Finish – Top 3'!B8</f>
        <v>180–190 ml</v>
      </c>
      <c r="D86" s="34" t="s">
        <v>329</v>
      </c>
      <c r="E86" s="56" t="n">
        <f aca="false">'Frosted Finish – Top 3'!I8+'Frosted Finish – Top 3'!K8</f>
        <v>0.52</v>
      </c>
      <c r="F86" s="57" t="n">
        <f aca="false">'Frosted Finish – Top 3'!L8</f>
        <v>1.38</v>
      </c>
      <c r="G86" s="26" t="n">
        <f aca="false">E86*F86*(1+Inputs!$B$29)</f>
        <v>0.7176</v>
      </c>
      <c r="H86" s="26" t="n">
        <v>0</v>
      </c>
      <c r="I86" s="26" t="n">
        <f aca="false">(Inputs!$B$25+Inputs!$B$26)/(2*Inputs!$B$5)</f>
        <v>0.52</v>
      </c>
      <c r="J86" s="43" t="n">
        <f aca="false">G86+H86+I86</f>
        <v>1.2376</v>
      </c>
      <c r="K86" s="26" t="n">
        <v>0</v>
      </c>
      <c r="L86" s="43" t="n">
        <f aca="false">J86+K86</f>
        <v>1.2376</v>
      </c>
      <c r="M86" s="39" t="n">
        <f aca="false">Inputs!$B$5</f>
        <v>2000</v>
      </c>
      <c r="N86" s="44" t="n">
        <f aca="false">J86*M86</f>
        <v>2475.2</v>
      </c>
      <c r="O86" s="44" t="n">
        <f aca="false">L86*M86</f>
        <v>2475.2</v>
      </c>
    </row>
    <row r="87" customFormat="false" ht="15" hidden="false" customHeight="false" outlineLevel="0" collapsed="false">
      <c r="A87" s="34" t="s">
        <v>325</v>
      </c>
      <c r="B87" s="9" t="s">
        <v>345</v>
      </c>
      <c r="C87" s="14" t="str">
        <f aca="false">'Regular Finish – Top 3'!B8</f>
        <v>6 oz</v>
      </c>
      <c r="D87" s="34" t="s">
        <v>323</v>
      </c>
      <c r="E87" s="56" t="n">
        <f aca="false">'Regular Finish – Top 3'!I8+'Regular Finish – Top 3'!K8</f>
        <v>0.615833333333333</v>
      </c>
      <c r="F87" s="57" t="n">
        <f aca="false">'Regular Finish – Top 3'!L8</f>
        <v>1.38</v>
      </c>
      <c r="G87" s="26" t="n">
        <f aca="false">E87*F87*(1+Inputs!$B$29)</f>
        <v>0.84985</v>
      </c>
      <c r="H87" s="26" t="n">
        <f aca="false">Inputs!$B$33+(Inputs!$B$34+Inputs!$B$35)/Inputs!$B$5</f>
        <v>0.925</v>
      </c>
      <c r="I87" s="26" t="n">
        <f aca="false">(Inputs!$B$21*Inputs!$B$7+Inputs!$B$22)/Inputs!$B$5</f>
        <v>0.3635</v>
      </c>
      <c r="J87" s="43" t="n">
        <f aca="false">G87+H87+I87</f>
        <v>2.13835</v>
      </c>
      <c r="K87" s="26" t="n">
        <f aca="false">G87*Inputs!$B$30</f>
        <v>0.424925</v>
      </c>
      <c r="L87" s="43" t="n">
        <f aca="false">J87+K87</f>
        <v>2.563275</v>
      </c>
      <c r="M87" s="39" t="n">
        <f aca="false">Inputs!$B$5</f>
        <v>2000</v>
      </c>
      <c r="N87" s="44" t="n">
        <f aca="false">J87*M87</f>
        <v>4276.7</v>
      </c>
      <c r="O87" s="44" t="n">
        <f aca="false">L87*M87</f>
        <v>5126.55</v>
      </c>
    </row>
    <row r="88" customFormat="false" ht="15" hidden="false" customHeight="false" outlineLevel="0" collapsed="false">
      <c r="A88" s="46" t="s">
        <v>326</v>
      </c>
      <c r="B88" s="47"/>
      <c r="C88" s="47"/>
      <c r="D88" s="47"/>
      <c r="E88" s="47"/>
      <c r="F88" s="47"/>
      <c r="G88" s="47"/>
      <c r="H88" s="47"/>
      <c r="I88" s="47"/>
      <c r="J88" s="43" t="n">
        <f aca="false">N88/M88</f>
        <v>1.52865</v>
      </c>
      <c r="K88" s="47"/>
      <c r="L88" s="43" t="n">
        <f aca="false">O88/M88</f>
        <v>1.67029166666667</v>
      </c>
      <c r="M88" s="48" t="n">
        <f aca="false">SUM(M85:M87)</f>
        <v>6000</v>
      </c>
      <c r="N88" s="49" t="n">
        <f aca="false">SUM(N85:N87)</f>
        <v>9171.9</v>
      </c>
      <c r="O88" s="49" t="n">
        <f aca="false">SUM(O85:O87)</f>
        <v>10021.75</v>
      </c>
    </row>
    <row r="90" customFormat="false" ht="15" hidden="false" customHeight="false" outlineLevel="0" collapsed="false">
      <c r="A90" s="6" t="s">
        <v>346</v>
      </c>
      <c r="B90" s="6"/>
      <c r="C90" s="6"/>
      <c r="D90" s="6"/>
      <c r="E90" s="6"/>
      <c r="F90" s="6"/>
      <c r="G90" s="6"/>
      <c r="H90" s="6"/>
      <c r="I90" s="6"/>
      <c r="J90" s="6"/>
      <c r="K90" s="6"/>
      <c r="L90" s="6"/>
      <c r="M90" s="6"/>
      <c r="N90" s="6"/>
      <c r="O90" s="6"/>
    </row>
    <row r="91" customFormat="false" ht="42" hidden="false" customHeight="true" outlineLevel="0" collapsed="false">
      <c r="A91" s="7" t="s">
        <v>177</v>
      </c>
      <c r="B91" s="7" t="s">
        <v>312</v>
      </c>
      <c r="C91" s="7" t="s">
        <v>139</v>
      </c>
      <c r="D91" s="7" t="s">
        <v>313</v>
      </c>
      <c r="E91" s="7" t="s">
        <v>314</v>
      </c>
      <c r="F91" s="7" t="s">
        <v>315</v>
      </c>
      <c r="G91" s="7" t="s">
        <v>316</v>
      </c>
      <c r="H91" s="7" t="s">
        <v>317</v>
      </c>
      <c r="I91" s="7" t="s">
        <v>318</v>
      </c>
      <c r="J91" s="7" t="s">
        <v>192</v>
      </c>
      <c r="K91" s="7" t="s">
        <v>319</v>
      </c>
      <c r="L91" s="7" t="s">
        <v>320</v>
      </c>
      <c r="M91" s="7" t="s">
        <v>181</v>
      </c>
      <c r="N91" s="7" t="s">
        <v>193</v>
      </c>
      <c r="O91" s="7" t="s">
        <v>196</v>
      </c>
    </row>
    <row r="92" customFormat="false" ht="15" hidden="false" customHeight="false" outlineLevel="0" collapsed="false">
      <c r="A92" s="34" t="s">
        <v>321</v>
      </c>
      <c r="B92" s="9" t="s">
        <v>342</v>
      </c>
      <c r="C92" s="14" t="str">
        <f aca="false">'Frosted Finish – Top 3'!B7</f>
        <v>120 ml</v>
      </c>
      <c r="D92" s="34" t="s">
        <v>329</v>
      </c>
      <c r="E92" s="56" t="n">
        <f aca="false">'Frosted Finish – Top 3'!I7+'Frosted Finish – Top 3'!K7</f>
        <v>0.5</v>
      </c>
      <c r="F92" s="57" t="n">
        <f aca="false">'Frosted Finish – Top 3'!L7</f>
        <v>1.38</v>
      </c>
      <c r="G92" s="26" t="n">
        <f aca="false">E92*F92*(1+Inputs!$B$29)</f>
        <v>0.69</v>
      </c>
      <c r="H92" s="26" t="n">
        <v>0</v>
      </c>
      <c r="I92" s="26" t="n">
        <f aca="false">(Inputs!$B$25+Inputs!$B$26)/(2*Inputs!$B$5)</f>
        <v>0.52</v>
      </c>
      <c r="J92" s="43" t="n">
        <f aca="false">G92+H92+I92</f>
        <v>1.21</v>
      </c>
      <c r="K92" s="26" t="n">
        <v>0</v>
      </c>
      <c r="L92" s="43" t="n">
        <f aca="false">J92+K92</f>
        <v>1.21</v>
      </c>
      <c r="M92" s="39" t="n">
        <f aca="false">Inputs!$B$5</f>
        <v>2000</v>
      </c>
      <c r="N92" s="44" t="n">
        <f aca="false">J92*M92</f>
        <v>2420</v>
      </c>
      <c r="O92" s="44" t="n">
        <f aca="false">L92*M92</f>
        <v>2420</v>
      </c>
    </row>
    <row r="93" customFormat="false" ht="15" hidden="false" customHeight="false" outlineLevel="0" collapsed="false">
      <c r="A93" s="34" t="s">
        <v>324</v>
      </c>
      <c r="B93" s="9" t="s">
        <v>342</v>
      </c>
      <c r="C93" s="14" t="str">
        <f aca="false">'Frosted Finish – Top 3'!B8</f>
        <v>180–190 ml</v>
      </c>
      <c r="D93" s="34" t="s">
        <v>329</v>
      </c>
      <c r="E93" s="56" t="n">
        <f aca="false">'Frosted Finish – Top 3'!I8+'Frosted Finish – Top 3'!K8</f>
        <v>0.52</v>
      </c>
      <c r="F93" s="57" t="n">
        <f aca="false">'Frosted Finish – Top 3'!L8</f>
        <v>1.38</v>
      </c>
      <c r="G93" s="26" t="n">
        <f aca="false">E93*F93*(1+Inputs!$B$29)</f>
        <v>0.7176</v>
      </c>
      <c r="H93" s="26" t="n">
        <v>0</v>
      </c>
      <c r="I93" s="26" t="n">
        <f aca="false">(Inputs!$B$25+Inputs!$B$26)/(2*Inputs!$B$5)</f>
        <v>0.52</v>
      </c>
      <c r="J93" s="43" t="n">
        <f aca="false">G93+H93+I93</f>
        <v>1.2376</v>
      </c>
      <c r="K93" s="26" t="n">
        <v>0</v>
      </c>
      <c r="L93" s="43" t="n">
        <f aca="false">J93+K93</f>
        <v>1.2376</v>
      </c>
      <c r="M93" s="39" t="n">
        <f aca="false">Inputs!$B$5</f>
        <v>2000</v>
      </c>
      <c r="N93" s="44" t="n">
        <f aca="false">J93*M93</f>
        <v>2475.2</v>
      </c>
      <c r="O93" s="44" t="n">
        <f aca="false">L93*M93</f>
        <v>2475.2</v>
      </c>
    </row>
    <row r="94" customFormat="false" ht="15" hidden="false" customHeight="false" outlineLevel="0" collapsed="false">
      <c r="A94" s="34" t="s">
        <v>325</v>
      </c>
      <c r="B94" s="9" t="s">
        <v>343</v>
      </c>
      <c r="C94" s="14" t="str">
        <f aca="false">'Regular Finish – Top 3'!B9</f>
        <v>9 oz</v>
      </c>
      <c r="D94" s="34" t="s">
        <v>323</v>
      </c>
      <c r="E94" s="56" t="n">
        <f aca="false">'Regular Finish – Top 3'!I9+'Regular Finish – Top 3'!K9</f>
        <v>0.586666666666667</v>
      </c>
      <c r="F94" s="57" t="n">
        <f aca="false">'Regular Finish – Top 3'!L9</f>
        <v>1.38</v>
      </c>
      <c r="G94" s="26" t="n">
        <f aca="false">E94*F94*(1+Inputs!$B$29)</f>
        <v>0.8096</v>
      </c>
      <c r="H94" s="26" t="n">
        <f aca="false">Inputs!$B$33+(Inputs!$B$34+Inputs!$B$35)/Inputs!$B$5</f>
        <v>0.925</v>
      </c>
      <c r="I94" s="26" t="n">
        <f aca="false">(Inputs!$B$21*Inputs!$B$7+Inputs!$B$22)/Inputs!$B$5</f>
        <v>0.3635</v>
      </c>
      <c r="J94" s="43" t="n">
        <f aca="false">G94+H94+I94</f>
        <v>2.0981</v>
      </c>
      <c r="K94" s="26" t="n">
        <f aca="false">G94*Inputs!$B$30</f>
        <v>0.4048</v>
      </c>
      <c r="L94" s="43" t="n">
        <f aca="false">J94+K94</f>
        <v>2.5029</v>
      </c>
      <c r="M94" s="39" t="n">
        <f aca="false">Inputs!$B$5</f>
        <v>2000</v>
      </c>
      <c r="N94" s="44" t="n">
        <f aca="false">J94*M94</f>
        <v>4196.2</v>
      </c>
      <c r="O94" s="44" t="n">
        <f aca="false">L94*M94</f>
        <v>5005.8</v>
      </c>
    </row>
    <row r="95" customFormat="false" ht="15" hidden="false" customHeight="false" outlineLevel="0" collapsed="false">
      <c r="A95" s="46" t="s">
        <v>326</v>
      </c>
      <c r="B95" s="47"/>
      <c r="C95" s="47"/>
      <c r="D95" s="47"/>
      <c r="E95" s="47"/>
      <c r="F95" s="47"/>
      <c r="G95" s="47"/>
      <c r="H95" s="47"/>
      <c r="I95" s="47"/>
      <c r="J95" s="43" t="n">
        <f aca="false">N95/M95</f>
        <v>1.51523333333333</v>
      </c>
      <c r="K95" s="47"/>
      <c r="L95" s="43" t="n">
        <f aca="false">O95/M95</f>
        <v>1.65016666666667</v>
      </c>
      <c r="M95" s="48" t="n">
        <f aca="false">SUM(M92:M94)</f>
        <v>6000</v>
      </c>
      <c r="N95" s="49" t="n">
        <f aca="false">SUM(N92:N94)</f>
        <v>9091.4</v>
      </c>
      <c r="O95" s="49" t="n">
        <f aca="false">SUM(O92:O94)</f>
        <v>9901</v>
      </c>
    </row>
    <row r="97" customFormat="false" ht="15" hidden="false" customHeight="false" outlineLevel="0" collapsed="false">
      <c r="A97" s="6" t="s">
        <v>347</v>
      </c>
      <c r="B97" s="6"/>
      <c r="C97" s="6"/>
      <c r="D97" s="6"/>
      <c r="E97" s="6"/>
      <c r="F97" s="6"/>
      <c r="G97" s="6"/>
      <c r="H97" s="6"/>
      <c r="I97" s="6"/>
      <c r="J97" s="6"/>
      <c r="K97" s="6"/>
      <c r="L97" s="6"/>
      <c r="M97" s="6"/>
      <c r="N97" s="6"/>
      <c r="O97" s="6"/>
    </row>
    <row r="98" customFormat="false" ht="42" hidden="false" customHeight="true" outlineLevel="0" collapsed="false">
      <c r="A98" s="7" t="s">
        <v>177</v>
      </c>
      <c r="B98" s="7" t="s">
        <v>312</v>
      </c>
      <c r="C98" s="7" t="s">
        <v>139</v>
      </c>
      <c r="D98" s="7" t="s">
        <v>313</v>
      </c>
      <c r="E98" s="7" t="s">
        <v>314</v>
      </c>
      <c r="F98" s="7" t="s">
        <v>315</v>
      </c>
      <c r="G98" s="7" t="s">
        <v>316</v>
      </c>
      <c r="H98" s="7" t="s">
        <v>317</v>
      </c>
      <c r="I98" s="7" t="s">
        <v>318</v>
      </c>
      <c r="J98" s="7" t="s">
        <v>192</v>
      </c>
      <c r="K98" s="7" t="s">
        <v>319</v>
      </c>
      <c r="L98" s="7" t="s">
        <v>320</v>
      </c>
      <c r="M98" s="7" t="s">
        <v>181</v>
      </c>
      <c r="N98" s="7" t="s">
        <v>193</v>
      </c>
      <c r="O98" s="7" t="s">
        <v>196</v>
      </c>
    </row>
    <row r="99" customFormat="false" ht="15" hidden="false" customHeight="false" outlineLevel="0" collapsed="false">
      <c r="A99" s="34" t="s">
        <v>321</v>
      </c>
      <c r="B99" s="9" t="s">
        <v>342</v>
      </c>
      <c r="C99" s="14" t="str">
        <f aca="false">'Frosted Finish – Top 3'!B7</f>
        <v>120 ml</v>
      </c>
      <c r="D99" s="34" t="s">
        <v>329</v>
      </c>
      <c r="E99" s="56" t="n">
        <f aca="false">'Frosted Finish – Top 3'!I7+'Frosted Finish – Top 3'!K7</f>
        <v>0.5</v>
      </c>
      <c r="F99" s="57" t="n">
        <f aca="false">'Frosted Finish – Top 3'!L7</f>
        <v>1.38</v>
      </c>
      <c r="G99" s="26" t="n">
        <f aca="false">E99*F99*(1+Inputs!$B$29)</f>
        <v>0.69</v>
      </c>
      <c r="H99" s="26" t="n">
        <v>0</v>
      </c>
      <c r="I99" s="26" t="n">
        <f aca="false">(Inputs!$B$25+Inputs!$B$26)/(2*Inputs!$B$5)</f>
        <v>0.52</v>
      </c>
      <c r="J99" s="43" t="n">
        <f aca="false">G99+H99+I99</f>
        <v>1.21</v>
      </c>
      <c r="K99" s="26" t="n">
        <v>0</v>
      </c>
      <c r="L99" s="43" t="n">
        <f aca="false">J99+K99</f>
        <v>1.21</v>
      </c>
      <c r="M99" s="39" t="n">
        <f aca="false">Inputs!$B$5</f>
        <v>2000</v>
      </c>
      <c r="N99" s="44" t="n">
        <f aca="false">J99*M99</f>
        <v>2420</v>
      </c>
      <c r="O99" s="44" t="n">
        <f aca="false">L99*M99</f>
        <v>2420</v>
      </c>
    </row>
    <row r="100" customFormat="false" ht="15" hidden="false" customHeight="false" outlineLevel="0" collapsed="false">
      <c r="A100" s="34" t="s">
        <v>324</v>
      </c>
      <c r="B100" s="9" t="s">
        <v>342</v>
      </c>
      <c r="C100" s="14" t="str">
        <f aca="false">'Frosted Finish – Top 3'!B8</f>
        <v>180–190 ml</v>
      </c>
      <c r="D100" s="34" t="s">
        <v>329</v>
      </c>
      <c r="E100" s="56" t="n">
        <f aca="false">'Frosted Finish – Top 3'!I8+'Frosted Finish – Top 3'!K8</f>
        <v>0.52</v>
      </c>
      <c r="F100" s="57" t="n">
        <f aca="false">'Frosted Finish – Top 3'!L8</f>
        <v>1.38</v>
      </c>
      <c r="G100" s="26" t="n">
        <f aca="false">E100*F100*(1+Inputs!$B$29)</f>
        <v>0.7176</v>
      </c>
      <c r="H100" s="26" t="n">
        <v>0</v>
      </c>
      <c r="I100" s="26" t="n">
        <f aca="false">(Inputs!$B$25+Inputs!$B$26)/(2*Inputs!$B$5)</f>
        <v>0.52</v>
      </c>
      <c r="J100" s="43" t="n">
        <f aca="false">G100+H100+I100</f>
        <v>1.2376</v>
      </c>
      <c r="K100" s="26" t="n">
        <v>0</v>
      </c>
      <c r="L100" s="43" t="n">
        <f aca="false">J100+K100</f>
        <v>1.2376</v>
      </c>
      <c r="M100" s="39" t="n">
        <f aca="false">Inputs!$B$5</f>
        <v>2000</v>
      </c>
      <c r="N100" s="44" t="n">
        <f aca="false">J100*M100</f>
        <v>2475.2</v>
      </c>
      <c r="O100" s="44" t="n">
        <f aca="false">L100*M100</f>
        <v>2475.2</v>
      </c>
    </row>
    <row r="101" customFormat="false" ht="15" hidden="false" customHeight="false" outlineLevel="0" collapsed="false">
      <c r="A101" s="34" t="s">
        <v>325</v>
      </c>
      <c r="B101" s="9" t="s">
        <v>348</v>
      </c>
      <c r="C101" s="14" t="str">
        <f aca="false">'Frosted Finish – Top 3'!B36</f>
        <v>9 oz</v>
      </c>
      <c r="D101" s="34" t="s">
        <v>323</v>
      </c>
      <c r="E101" s="56" t="n">
        <f aca="false">'Frosted Finish – Top 3'!I36+'Frosted Finish – Top 3'!K36</f>
        <v>1.72</v>
      </c>
      <c r="F101" s="57" t="n">
        <f aca="false">'Frosted Finish – Top 3'!L36</f>
        <v>1.38</v>
      </c>
      <c r="G101" s="26" t="n">
        <f aca="false">E101*F101*(1+Inputs!$B$29)</f>
        <v>2.3736</v>
      </c>
      <c r="H101" s="26" t="n">
        <v>0</v>
      </c>
      <c r="I101" s="26" t="n">
        <f aca="false">(Inputs!$B$21*Inputs!$B$7+Inputs!$B$22)/Inputs!$B$5</f>
        <v>0.3635</v>
      </c>
      <c r="J101" s="43" t="n">
        <f aca="false">G101+H101+I101</f>
        <v>2.7371</v>
      </c>
      <c r="K101" s="26" t="n">
        <f aca="false">G101*Inputs!$B$30</f>
        <v>1.1868</v>
      </c>
      <c r="L101" s="43" t="n">
        <f aca="false">J101+K101</f>
        <v>3.9239</v>
      </c>
      <c r="M101" s="39" t="n">
        <f aca="false">Inputs!$B$5</f>
        <v>2000</v>
      </c>
      <c r="N101" s="44" t="n">
        <f aca="false">J101*M101</f>
        <v>5474.2</v>
      </c>
      <c r="O101" s="44" t="n">
        <f aca="false">L101*M101</f>
        <v>7847.8</v>
      </c>
    </row>
    <row r="102" customFormat="false" ht="15" hidden="false" customHeight="false" outlineLevel="0" collapsed="false">
      <c r="A102" s="46" t="s">
        <v>326</v>
      </c>
      <c r="B102" s="47"/>
      <c r="C102" s="47"/>
      <c r="D102" s="47"/>
      <c r="E102" s="47"/>
      <c r="F102" s="47"/>
      <c r="G102" s="47"/>
      <c r="H102" s="47"/>
      <c r="I102" s="47"/>
      <c r="J102" s="43" t="n">
        <f aca="false">N102/M102</f>
        <v>1.72823333333333</v>
      </c>
      <c r="K102" s="47"/>
      <c r="L102" s="43" t="n">
        <f aca="false">O102/M102</f>
        <v>2.12383333333333</v>
      </c>
      <c r="M102" s="48" t="n">
        <f aca="false">SUM(M99:M101)</f>
        <v>6000</v>
      </c>
      <c r="N102" s="49" t="n">
        <f aca="false">SUM(N99:N101)</f>
        <v>10369.4</v>
      </c>
      <c r="O102" s="49" t="n">
        <f aca="false">SUM(O99:O101)</f>
        <v>12743</v>
      </c>
    </row>
    <row r="104" customFormat="false" ht="15" hidden="false" customHeight="false" outlineLevel="0" collapsed="false">
      <c r="A104" s="6" t="s">
        <v>349</v>
      </c>
      <c r="B104" s="6"/>
      <c r="C104" s="6"/>
      <c r="D104" s="6"/>
      <c r="E104" s="6"/>
      <c r="F104" s="6"/>
      <c r="G104" s="6"/>
      <c r="H104" s="6"/>
      <c r="I104" s="6"/>
      <c r="J104" s="6"/>
      <c r="K104" s="6"/>
      <c r="L104" s="6"/>
      <c r="M104" s="6"/>
      <c r="N104" s="6"/>
      <c r="O104" s="6"/>
    </row>
    <row r="105" customFormat="false" ht="42" hidden="false" customHeight="true" outlineLevel="0" collapsed="false">
      <c r="A105" s="7" t="s">
        <v>177</v>
      </c>
      <c r="B105" s="7" t="s">
        <v>312</v>
      </c>
      <c r="C105" s="7" t="s">
        <v>139</v>
      </c>
      <c r="D105" s="7" t="s">
        <v>313</v>
      </c>
      <c r="E105" s="7" t="s">
        <v>314</v>
      </c>
      <c r="F105" s="7" t="s">
        <v>315</v>
      </c>
      <c r="G105" s="7" t="s">
        <v>316</v>
      </c>
      <c r="H105" s="7" t="s">
        <v>317</v>
      </c>
      <c r="I105" s="7" t="s">
        <v>318</v>
      </c>
      <c r="J105" s="7" t="s">
        <v>192</v>
      </c>
      <c r="K105" s="7" t="s">
        <v>319</v>
      </c>
      <c r="L105" s="7" t="s">
        <v>320</v>
      </c>
      <c r="M105" s="7" t="s">
        <v>181</v>
      </c>
      <c r="N105" s="7" t="s">
        <v>193</v>
      </c>
      <c r="O105" s="7" t="s">
        <v>196</v>
      </c>
    </row>
    <row r="106" customFormat="false" ht="15" hidden="false" customHeight="false" outlineLevel="0" collapsed="false">
      <c r="A106" s="34" t="s">
        <v>321</v>
      </c>
      <c r="B106" s="9" t="s">
        <v>342</v>
      </c>
      <c r="C106" s="14" t="str">
        <f aca="false">'Frosted Finish – Top 3'!B7</f>
        <v>120 ml</v>
      </c>
      <c r="D106" s="34" t="s">
        <v>329</v>
      </c>
      <c r="E106" s="56" t="n">
        <f aca="false">'Frosted Finish – Top 3'!I7+'Frosted Finish – Top 3'!K7</f>
        <v>0.5</v>
      </c>
      <c r="F106" s="57" t="n">
        <f aca="false">'Frosted Finish – Top 3'!L7</f>
        <v>1.38</v>
      </c>
      <c r="G106" s="26" t="n">
        <f aca="false">E106*F106*(1+Inputs!$B$29)</f>
        <v>0.69</v>
      </c>
      <c r="H106" s="26" t="n">
        <v>0</v>
      </c>
      <c r="I106" s="26" t="n">
        <f aca="false">(Inputs!$B$18+Inputs!$B$26)/(Inputs!$B$5*Inputs!$B$6)</f>
        <v>0.413333333333333</v>
      </c>
      <c r="J106" s="43" t="n">
        <f aca="false">G106+H106+I106</f>
        <v>1.10333333333333</v>
      </c>
      <c r="K106" s="26" t="n">
        <v>0</v>
      </c>
      <c r="L106" s="43" t="n">
        <f aca="false">J106+K106</f>
        <v>1.10333333333333</v>
      </c>
      <c r="M106" s="39" t="n">
        <f aca="false">Inputs!$B$5</f>
        <v>2000</v>
      </c>
      <c r="N106" s="44" t="n">
        <f aca="false">J106*M106</f>
        <v>2206.66666666667</v>
      </c>
      <c r="O106" s="44" t="n">
        <f aca="false">L106*M106</f>
        <v>2206.66666666667</v>
      </c>
    </row>
    <row r="107" customFormat="false" ht="15" hidden="false" customHeight="false" outlineLevel="0" collapsed="false">
      <c r="A107" s="34" t="s">
        <v>324</v>
      </c>
      <c r="B107" s="9" t="s">
        <v>342</v>
      </c>
      <c r="C107" s="14" t="str">
        <f aca="false">'Frosted Finish – Top 3'!B8</f>
        <v>180–190 ml</v>
      </c>
      <c r="D107" s="34" t="s">
        <v>329</v>
      </c>
      <c r="E107" s="56" t="n">
        <f aca="false">'Frosted Finish – Top 3'!I8+'Frosted Finish – Top 3'!K8</f>
        <v>0.52</v>
      </c>
      <c r="F107" s="57" t="n">
        <f aca="false">'Frosted Finish – Top 3'!L8</f>
        <v>1.38</v>
      </c>
      <c r="G107" s="26" t="n">
        <f aca="false">E107*F107*(1+Inputs!$B$29)</f>
        <v>0.7176</v>
      </c>
      <c r="H107" s="26" t="n">
        <v>0</v>
      </c>
      <c r="I107" s="26" t="n">
        <f aca="false">(Inputs!$B$18+Inputs!$B$26)/(Inputs!$B$5*Inputs!$B$6)</f>
        <v>0.413333333333333</v>
      </c>
      <c r="J107" s="43" t="n">
        <f aca="false">G107+H107+I107</f>
        <v>1.13093333333333</v>
      </c>
      <c r="K107" s="26" t="n">
        <v>0</v>
      </c>
      <c r="L107" s="43" t="n">
        <f aca="false">J107+K107</f>
        <v>1.13093333333333</v>
      </c>
      <c r="M107" s="39" t="n">
        <f aca="false">Inputs!$B$5</f>
        <v>2000</v>
      </c>
      <c r="N107" s="44" t="n">
        <f aca="false">J107*M107</f>
        <v>2261.86666666667</v>
      </c>
      <c r="O107" s="44" t="n">
        <f aca="false">L107*M107</f>
        <v>2261.86666666667</v>
      </c>
    </row>
    <row r="108" customFormat="false" ht="15" hidden="false" customHeight="false" outlineLevel="0" collapsed="false">
      <c r="A108" s="34" t="s">
        <v>325</v>
      </c>
      <c r="B108" s="9" t="s">
        <v>342</v>
      </c>
      <c r="C108" s="14" t="str">
        <f aca="false">'Frosted Finish – Top 3'!B9</f>
        <v>250–270 ml</v>
      </c>
      <c r="D108" s="34" t="s">
        <v>329</v>
      </c>
      <c r="E108" s="56" t="n">
        <f aca="false">'Frosted Finish – Top 3'!I9+'Frosted Finish – Top 3'!K9</f>
        <v>0.52</v>
      </c>
      <c r="F108" s="57" t="n">
        <f aca="false">'Frosted Finish – Top 3'!L9</f>
        <v>1.38</v>
      </c>
      <c r="G108" s="26" t="n">
        <f aca="false">E108*F108*(1+Inputs!$B$29)</f>
        <v>0.7176</v>
      </c>
      <c r="H108" s="26" t="n">
        <v>0</v>
      </c>
      <c r="I108" s="26" t="n">
        <f aca="false">(Inputs!$B$18+Inputs!$B$26)/(Inputs!$B$5*Inputs!$B$6)</f>
        <v>0.413333333333333</v>
      </c>
      <c r="J108" s="43" t="n">
        <f aca="false">G108+H108+I108</f>
        <v>1.13093333333333</v>
      </c>
      <c r="K108" s="26" t="n">
        <v>0</v>
      </c>
      <c r="L108" s="43" t="n">
        <f aca="false">J108+K108</f>
        <v>1.13093333333333</v>
      </c>
      <c r="M108" s="39" t="n">
        <f aca="false">Inputs!$B$5</f>
        <v>2000</v>
      </c>
      <c r="N108" s="44" t="n">
        <f aca="false">J108*M108</f>
        <v>2261.86666666667</v>
      </c>
      <c r="O108" s="44" t="n">
        <f aca="false">L108*M108</f>
        <v>2261.86666666667</v>
      </c>
    </row>
    <row r="109" customFormat="false" ht="15" hidden="false" customHeight="false" outlineLevel="0" collapsed="false">
      <c r="A109" s="46" t="s">
        <v>326</v>
      </c>
      <c r="B109" s="47"/>
      <c r="C109" s="47"/>
      <c r="D109" s="47"/>
      <c r="E109" s="47"/>
      <c r="F109" s="47"/>
      <c r="G109" s="47"/>
      <c r="H109" s="47"/>
      <c r="I109" s="47"/>
      <c r="J109" s="43" t="n">
        <f aca="false">N109/M109</f>
        <v>1.12173333333333</v>
      </c>
      <c r="K109" s="47"/>
      <c r="L109" s="43" t="n">
        <f aca="false">O109/M109</f>
        <v>1.12173333333333</v>
      </c>
      <c r="M109" s="48" t="n">
        <f aca="false">SUM(M106:M108)</f>
        <v>6000</v>
      </c>
      <c r="N109" s="49" t="n">
        <f aca="false">SUM(N106:N108)</f>
        <v>6730.4</v>
      </c>
      <c r="O109" s="49" t="n">
        <f aca="false">SUM(O106:O108)</f>
        <v>6730.4</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1">
      <formula>C6=MIN($C$6:$C$10)</formula>
    </cfRule>
  </conditionalFormatting>
  <conditionalFormatting sqref="E6:E10">
    <cfRule type="expression" priority="3" aboveAverage="0" equalAverage="0" bottom="0" percent="0" rank="0" text="" dxfId="1">
      <formula>E6=MIN($E$6:$E$10)</formula>
    </cfRule>
  </conditionalFormatting>
  <conditionalFormatting sqref="C12:C16">
    <cfRule type="expression" priority="4" aboveAverage="0" equalAverage="0" bottom="0" percent="0" rank="0" text="" dxfId="1">
      <formula>C12=MIN($C$12:$C$16)</formula>
    </cfRule>
  </conditionalFormatting>
  <conditionalFormatting sqref="E12:E16">
    <cfRule type="expression" priority="5" aboveAverage="0" equalAverage="0" bottom="0" percent="0" rank="0" text="" dxfId="1">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350</v>
      </c>
    </row>
    <row r="2" customFormat="false" ht="15" hidden="false" customHeight="false" outlineLevel="0" collapsed="false">
      <c r="A2" s="2" t="s">
        <v>351</v>
      </c>
    </row>
    <row r="4" customFormat="false" ht="23.85" hidden="false" customHeight="false" outlineLevel="0" collapsed="false">
      <c r="A4" s="29" t="s">
        <v>352</v>
      </c>
      <c r="B4" s="29" t="s">
        <v>353</v>
      </c>
      <c r="C4" s="29" t="s">
        <v>354</v>
      </c>
      <c r="D4" s="29" t="s">
        <v>355</v>
      </c>
      <c r="E4" s="29" t="s">
        <v>356</v>
      </c>
      <c r="F4" s="29" t="s">
        <v>357</v>
      </c>
      <c r="G4" s="29" t="s">
        <v>358</v>
      </c>
      <c r="H4" s="29" t="s">
        <v>359</v>
      </c>
      <c r="I4" s="29" t="s">
        <v>360</v>
      </c>
      <c r="J4" s="29" t="s">
        <v>361</v>
      </c>
    </row>
    <row r="5" customFormat="false" ht="23.85" hidden="false" customHeight="false" outlineLevel="0" collapsed="false">
      <c r="A5" s="58" t="s">
        <v>362</v>
      </c>
      <c r="B5" s="58" t="s">
        <v>363</v>
      </c>
      <c r="C5" s="58" t="s">
        <v>364</v>
      </c>
      <c r="D5" s="58" t="s">
        <v>365</v>
      </c>
      <c r="E5" s="58" t="s">
        <v>288</v>
      </c>
      <c r="F5" s="58" t="s">
        <v>288</v>
      </c>
      <c r="G5" s="58" t="s">
        <v>366</v>
      </c>
      <c r="H5" s="58" t="s">
        <v>367</v>
      </c>
      <c r="I5" s="58" t="s">
        <v>368</v>
      </c>
      <c r="J5" s="58" t="s">
        <v>369</v>
      </c>
    </row>
    <row r="6" customFormat="false" ht="23.85" hidden="false" customHeight="false" outlineLevel="0" collapsed="false">
      <c r="A6" s="58" t="s">
        <v>362</v>
      </c>
      <c r="B6" s="58" t="s">
        <v>370</v>
      </c>
      <c r="C6" s="58" t="s">
        <v>371</v>
      </c>
      <c r="D6" s="58" t="s">
        <v>372</v>
      </c>
      <c r="E6" s="58" t="s">
        <v>288</v>
      </c>
      <c r="F6" s="58" t="s">
        <v>288</v>
      </c>
      <c r="G6" s="58" t="s">
        <v>373</v>
      </c>
      <c r="H6" s="58" t="s">
        <v>374</v>
      </c>
      <c r="I6" s="58" t="s">
        <v>375</v>
      </c>
      <c r="J6" s="58" t="s">
        <v>376</v>
      </c>
    </row>
    <row r="7" customFormat="false" ht="35.05" hidden="false" customHeight="false" outlineLevel="0" collapsed="false">
      <c r="A7" s="58" t="s">
        <v>362</v>
      </c>
      <c r="B7" s="58" t="s">
        <v>377</v>
      </c>
      <c r="C7" s="58" t="s">
        <v>378</v>
      </c>
      <c r="D7" s="58" t="s">
        <v>379</v>
      </c>
      <c r="E7" s="58" t="s">
        <v>380</v>
      </c>
      <c r="F7" s="58" t="s">
        <v>381</v>
      </c>
      <c r="G7" s="58" t="s">
        <v>382</v>
      </c>
      <c r="H7" s="58" t="s">
        <v>383</v>
      </c>
      <c r="I7" s="58" t="s">
        <v>384</v>
      </c>
      <c r="J7" s="58" t="s">
        <v>385</v>
      </c>
    </row>
    <row r="8" customFormat="false" ht="23.85" hidden="false" customHeight="false" outlineLevel="0" collapsed="false">
      <c r="A8" s="9" t="s">
        <v>362</v>
      </c>
      <c r="B8" s="9" t="s">
        <v>386</v>
      </c>
      <c r="C8" s="9" t="s">
        <v>387</v>
      </c>
      <c r="D8" s="9" t="s">
        <v>388</v>
      </c>
      <c r="E8" s="9" t="s">
        <v>288</v>
      </c>
      <c r="F8" s="9" t="s">
        <v>288</v>
      </c>
      <c r="G8" s="9" t="s">
        <v>389</v>
      </c>
      <c r="H8" s="9" t="s">
        <v>390</v>
      </c>
      <c r="I8" s="9" t="s">
        <v>391</v>
      </c>
      <c r="J8" s="9" t="s">
        <v>392</v>
      </c>
    </row>
    <row r="9" customFormat="false" ht="23.85" hidden="false" customHeight="false" outlineLevel="0" collapsed="false">
      <c r="A9" s="9" t="s">
        <v>362</v>
      </c>
      <c r="B9" s="9" t="s">
        <v>393</v>
      </c>
      <c r="C9" s="9" t="s">
        <v>394</v>
      </c>
      <c r="D9" s="9" t="s">
        <v>395</v>
      </c>
      <c r="E9" s="9" t="s">
        <v>396</v>
      </c>
      <c r="F9" s="9" t="s">
        <v>397</v>
      </c>
      <c r="G9" s="9" t="s">
        <v>398</v>
      </c>
      <c r="H9" s="9" t="s">
        <v>399</v>
      </c>
      <c r="I9" s="9" t="s">
        <v>400</v>
      </c>
      <c r="J9" s="9" t="s">
        <v>401</v>
      </c>
    </row>
    <row r="10" customFormat="false" ht="23.85" hidden="false" customHeight="false" outlineLevel="0" collapsed="false">
      <c r="A10" s="9" t="s">
        <v>362</v>
      </c>
      <c r="B10" s="9" t="s">
        <v>402</v>
      </c>
      <c r="C10" s="9" t="s">
        <v>403</v>
      </c>
      <c r="D10" s="9" t="s">
        <v>404</v>
      </c>
      <c r="E10" s="9" t="s">
        <v>396</v>
      </c>
      <c r="F10" s="9" t="s">
        <v>396</v>
      </c>
      <c r="G10" s="9" t="s">
        <v>405</v>
      </c>
      <c r="H10" s="9" t="s">
        <v>406</v>
      </c>
      <c r="I10" s="9" t="s">
        <v>407</v>
      </c>
      <c r="J10" s="9" t="s">
        <v>408</v>
      </c>
    </row>
    <row r="11" customFormat="false" ht="23.85" hidden="false" customHeight="false" outlineLevel="0" collapsed="false">
      <c r="A11" s="9" t="s">
        <v>362</v>
      </c>
      <c r="B11" s="9" t="s">
        <v>409</v>
      </c>
      <c r="C11" s="9" t="s">
        <v>410</v>
      </c>
      <c r="D11" s="9" t="s">
        <v>411</v>
      </c>
      <c r="E11" s="9" t="s">
        <v>396</v>
      </c>
      <c r="F11" s="9" t="s">
        <v>396</v>
      </c>
      <c r="G11" s="9" t="s">
        <v>412</v>
      </c>
      <c r="H11" s="9" t="s">
        <v>413</v>
      </c>
      <c r="I11" s="9" t="s">
        <v>414</v>
      </c>
      <c r="J11" s="9" t="s">
        <v>415</v>
      </c>
    </row>
    <row r="12" customFormat="false" ht="23.85" hidden="false" customHeight="false" outlineLevel="0" collapsed="false">
      <c r="A12" s="9" t="s">
        <v>362</v>
      </c>
      <c r="B12" s="9" t="s">
        <v>416</v>
      </c>
      <c r="C12" s="9" t="s">
        <v>417</v>
      </c>
      <c r="D12" s="9" t="s">
        <v>418</v>
      </c>
      <c r="E12" s="9" t="s">
        <v>396</v>
      </c>
      <c r="F12" s="9" t="s">
        <v>396</v>
      </c>
      <c r="G12" s="9" t="s">
        <v>419</v>
      </c>
      <c r="H12" s="9" t="s">
        <v>420</v>
      </c>
      <c r="I12" s="9" t="s">
        <v>414</v>
      </c>
      <c r="J12" s="9" t="s">
        <v>421</v>
      </c>
    </row>
    <row r="13" customFormat="false" ht="23.85" hidden="false" customHeight="false" outlineLevel="0" collapsed="false">
      <c r="A13" s="9" t="s">
        <v>362</v>
      </c>
      <c r="B13" s="9" t="s">
        <v>422</v>
      </c>
      <c r="C13" s="9" t="s">
        <v>423</v>
      </c>
      <c r="D13" s="9" t="s">
        <v>424</v>
      </c>
      <c r="E13" s="9" t="s">
        <v>425</v>
      </c>
      <c r="F13" s="9" t="s">
        <v>426</v>
      </c>
      <c r="G13" s="9" t="s">
        <v>427</v>
      </c>
      <c r="H13" s="9" t="s">
        <v>428</v>
      </c>
      <c r="I13" s="9" t="s">
        <v>414</v>
      </c>
      <c r="J13" s="9" t="s">
        <v>429</v>
      </c>
    </row>
    <row r="14" customFormat="false" ht="23.85" hidden="false" customHeight="false" outlineLevel="0" collapsed="false">
      <c r="A14" s="9" t="s">
        <v>362</v>
      </c>
      <c r="B14" s="9" t="s">
        <v>430</v>
      </c>
      <c r="C14" s="9" t="s">
        <v>431</v>
      </c>
      <c r="D14" s="9" t="s">
        <v>418</v>
      </c>
      <c r="E14" s="9" t="s">
        <v>396</v>
      </c>
      <c r="F14" s="9" t="s">
        <v>396</v>
      </c>
      <c r="G14" s="9" t="s">
        <v>432</v>
      </c>
      <c r="H14" s="9" t="s">
        <v>433</v>
      </c>
      <c r="I14" s="9" t="s">
        <v>414</v>
      </c>
      <c r="J14" s="9" t="s">
        <v>434</v>
      </c>
    </row>
    <row r="15" customFormat="false" ht="23.85" hidden="false" customHeight="false" outlineLevel="0" collapsed="false">
      <c r="A15" s="9" t="s">
        <v>362</v>
      </c>
      <c r="B15" s="9" t="s">
        <v>435</v>
      </c>
      <c r="C15" s="9" t="s">
        <v>436</v>
      </c>
      <c r="D15" s="9" t="s">
        <v>437</v>
      </c>
      <c r="E15" s="9" t="s">
        <v>396</v>
      </c>
      <c r="F15" s="9" t="s">
        <v>396</v>
      </c>
      <c r="G15" s="9" t="s">
        <v>389</v>
      </c>
      <c r="H15" s="9" t="s">
        <v>438</v>
      </c>
      <c r="I15" s="9" t="s">
        <v>414</v>
      </c>
      <c r="J15" s="9" t="s">
        <v>439</v>
      </c>
    </row>
    <row r="16" customFormat="false" ht="23.85" hidden="false" customHeight="false" outlineLevel="0" collapsed="false">
      <c r="A16" s="9" t="s">
        <v>362</v>
      </c>
      <c r="B16" s="9" t="s">
        <v>440</v>
      </c>
      <c r="C16" s="9" t="s">
        <v>436</v>
      </c>
      <c r="D16" s="9" t="s">
        <v>441</v>
      </c>
      <c r="E16" s="9" t="s">
        <v>396</v>
      </c>
      <c r="F16" s="9" t="s">
        <v>396</v>
      </c>
      <c r="G16" s="9" t="s">
        <v>442</v>
      </c>
      <c r="H16" s="9" t="s">
        <v>438</v>
      </c>
      <c r="I16" s="9" t="s">
        <v>414</v>
      </c>
      <c r="J16" s="9" t="s">
        <v>443</v>
      </c>
    </row>
    <row r="17" customFormat="false" ht="23.85" hidden="false" customHeight="false" outlineLevel="0" collapsed="false">
      <c r="A17" s="9" t="s">
        <v>362</v>
      </c>
      <c r="B17" s="9" t="s">
        <v>444</v>
      </c>
      <c r="C17" s="9" t="s">
        <v>445</v>
      </c>
      <c r="D17" s="9" t="s">
        <v>411</v>
      </c>
      <c r="E17" s="9" t="s">
        <v>396</v>
      </c>
      <c r="F17" s="9" t="s">
        <v>396</v>
      </c>
      <c r="G17" s="9" t="s">
        <v>446</v>
      </c>
      <c r="H17" s="9" t="s">
        <v>438</v>
      </c>
      <c r="I17" s="9" t="s">
        <v>414</v>
      </c>
      <c r="J17" s="9" t="s">
        <v>447</v>
      </c>
    </row>
    <row r="18" customFormat="false" ht="23.85" hidden="false" customHeight="false" outlineLevel="0" collapsed="false">
      <c r="A18" s="9" t="s">
        <v>362</v>
      </c>
      <c r="B18" s="9" t="s">
        <v>448</v>
      </c>
      <c r="C18" s="9" t="s">
        <v>436</v>
      </c>
      <c r="D18" s="9" t="s">
        <v>449</v>
      </c>
      <c r="E18" s="9" t="s">
        <v>396</v>
      </c>
      <c r="F18" s="9" t="s">
        <v>396</v>
      </c>
      <c r="G18" s="9" t="s">
        <v>450</v>
      </c>
      <c r="H18" s="9" t="s">
        <v>451</v>
      </c>
      <c r="I18" s="9" t="s">
        <v>414</v>
      </c>
      <c r="J18" s="9" t="s">
        <v>452</v>
      </c>
    </row>
    <row r="19" customFormat="false" ht="23.85" hidden="false" customHeight="false" outlineLevel="0" collapsed="false">
      <c r="A19" s="9" t="s">
        <v>362</v>
      </c>
      <c r="B19" s="9" t="s">
        <v>453</v>
      </c>
      <c r="C19" s="9" t="s">
        <v>454</v>
      </c>
      <c r="D19" s="9" t="s">
        <v>455</v>
      </c>
      <c r="E19" s="9" t="s">
        <v>456</v>
      </c>
      <c r="F19" s="9" t="s">
        <v>457</v>
      </c>
      <c r="G19" s="9" t="s">
        <v>458</v>
      </c>
      <c r="H19" s="9" t="s">
        <v>459</v>
      </c>
      <c r="I19" s="9" t="s">
        <v>460</v>
      </c>
      <c r="J19" s="9" t="s">
        <v>461</v>
      </c>
    </row>
    <row r="20" customFormat="false" ht="57.45" hidden="false" customHeight="false" outlineLevel="0" collapsed="false">
      <c r="A20" s="58" t="s">
        <v>462</v>
      </c>
      <c r="B20" s="58" t="s">
        <v>463</v>
      </c>
      <c r="C20" s="58" t="s">
        <v>378</v>
      </c>
      <c r="D20" s="58" t="s">
        <v>464</v>
      </c>
      <c r="E20" s="58" t="s">
        <v>465</v>
      </c>
      <c r="F20" s="58" t="s">
        <v>466</v>
      </c>
      <c r="G20" s="58" t="s">
        <v>467</v>
      </c>
      <c r="H20" s="58" t="s">
        <v>468</v>
      </c>
      <c r="I20" s="58" t="s">
        <v>469</v>
      </c>
      <c r="J20" s="58" t="s">
        <v>470</v>
      </c>
    </row>
    <row r="21" customFormat="false" ht="23.85" hidden="false" customHeight="false" outlineLevel="0" collapsed="false">
      <c r="A21" s="58" t="s">
        <v>462</v>
      </c>
      <c r="B21" s="58" t="s">
        <v>471</v>
      </c>
      <c r="C21" s="58" t="s">
        <v>472</v>
      </c>
      <c r="D21" s="58" t="s">
        <v>473</v>
      </c>
      <c r="E21" s="58" t="s">
        <v>288</v>
      </c>
      <c r="F21" s="58" t="s">
        <v>288</v>
      </c>
      <c r="G21" s="58" t="s">
        <v>474</v>
      </c>
      <c r="H21" s="58" t="s">
        <v>475</v>
      </c>
      <c r="I21" s="58" t="s">
        <v>375</v>
      </c>
      <c r="J21" s="58" t="s">
        <v>476</v>
      </c>
    </row>
    <row r="22" customFormat="false" ht="23.85" hidden="false" customHeight="false" outlineLevel="0" collapsed="false">
      <c r="A22" s="58" t="s">
        <v>462</v>
      </c>
      <c r="B22" s="58" t="s">
        <v>477</v>
      </c>
      <c r="C22" s="58" t="s">
        <v>472</v>
      </c>
      <c r="D22" s="58" t="s">
        <v>473</v>
      </c>
      <c r="E22" s="58" t="s">
        <v>288</v>
      </c>
      <c r="F22" s="58" t="s">
        <v>288</v>
      </c>
      <c r="G22" s="58" t="s">
        <v>478</v>
      </c>
      <c r="H22" s="58" t="s">
        <v>479</v>
      </c>
      <c r="I22" s="58" t="s">
        <v>480</v>
      </c>
      <c r="J22" s="58" t="s">
        <v>481</v>
      </c>
    </row>
    <row r="23" customFormat="false" ht="23.85" hidden="false" customHeight="false" outlineLevel="0" collapsed="false">
      <c r="A23" s="9" t="s">
        <v>462</v>
      </c>
      <c r="B23" s="9" t="s">
        <v>482</v>
      </c>
      <c r="C23" s="9" t="s">
        <v>483</v>
      </c>
      <c r="D23" s="9" t="s">
        <v>484</v>
      </c>
      <c r="E23" s="9" t="s">
        <v>396</v>
      </c>
      <c r="F23" s="9" t="s">
        <v>485</v>
      </c>
      <c r="G23" s="9" t="s">
        <v>486</v>
      </c>
      <c r="H23" s="9" t="s">
        <v>433</v>
      </c>
      <c r="I23" s="9" t="s">
        <v>487</v>
      </c>
      <c r="J23" s="9" t="s">
        <v>488</v>
      </c>
    </row>
    <row r="24" customFormat="false" ht="35.05" hidden="false" customHeight="false" outlineLevel="0" collapsed="false">
      <c r="A24" s="9" t="s">
        <v>462</v>
      </c>
      <c r="B24" s="9" t="s">
        <v>489</v>
      </c>
      <c r="C24" s="9" t="s">
        <v>329</v>
      </c>
      <c r="D24" s="9" t="s">
        <v>490</v>
      </c>
      <c r="E24" s="9" t="s">
        <v>491</v>
      </c>
      <c r="F24" s="9" t="s">
        <v>492</v>
      </c>
      <c r="G24" s="9" t="s">
        <v>493</v>
      </c>
      <c r="H24" s="9" t="s">
        <v>438</v>
      </c>
      <c r="I24" s="9" t="s">
        <v>494</v>
      </c>
      <c r="J24" s="9" t="s">
        <v>495</v>
      </c>
    </row>
    <row r="25" customFormat="false" ht="23.85" hidden="false" customHeight="false" outlineLevel="0" collapsed="false">
      <c r="A25" s="9" t="s">
        <v>462</v>
      </c>
      <c r="B25" s="9" t="s">
        <v>496</v>
      </c>
      <c r="C25" s="9" t="s">
        <v>497</v>
      </c>
      <c r="D25" s="9" t="s">
        <v>498</v>
      </c>
      <c r="E25" s="9" t="s">
        <v>288</v>
      </c>
      <c r="F25" s="9" t="s">
        <v>288</v>
      </c>
      <c r="G25" s="9" t="s">
        <v>499</v>
      </c>
      <c r="H25" s="9" t="s">
        <v>438</v>
      </c>
      <c r="I25" s="9" t="s">
        <v>500</v>
      </c>
      <c r="J25" s="9" t="s">
        <v>501</v>
      </c>
    </row>
    <row r="26" customFormat="false" ht="15" hidden="false" customHeight="false" outlineLevel="0" collapsed="false">
      <c r="A26" s="9" t="s">
        <v>462</v>
      </c>
      <c r="B26" s="9" t="s">
        <v>502</v>
      </c>
      <c r="C26" s="9" t="s">
        <v>423</v>
      </c>
      <c r="D26" s="9" t="s">
        <v>503</v>
      </c>
      <c r="E26" s="9" t="s">
        <v>504</v>
      </c>
      <c r="F26" s="9" t="s">
        <v>396</v>
      </c>
      <c r="G26" s="9" t="s">
        <v>505</v>
      </c>
      <c r="H26" s="9" t="s">
        <v>506</v>
      </c>
      <c r="I26" s="9" t="s">
        <v>507</v>
      </c>
      <c r="J26" s="9" t="s">
        <v>508</v>
      </c>
    </row>
    <row r="27" customFormat="false" ht="23.85" hidden="false" customHeight="false" outlineLevel="0" collapsed="false">
      <c r="A27" s="9" t="s">
        <v>462</v>
      </c>
      <c r="B27" s="9" t="s">
        <v>409</v>
      </c>
      <c r="C27" s="9" t="s">
        <v>509</v>
      </c>
      <c r="D27" s="9" t="s">
        <v>510</v>
      </c>
      <c r="E27" s="9" t="s">
        <v>396</v>
      </c>
      <c r="F27" s="9" t="s">
        <v>396</v>
      </c>
      <c r="G27" s="9" t="s">
        <v>511</v>
      </c>
      <c r="H27" s="9" t="s">
        <v>512</v>
      </c>
      <c r="I27" s="9" t="s">
        <v>513</v>
      </c>
      <c r="J27" s="9" t="s">
        <v>514</v>
      </c>
    </row>
    <row r="28" customFormat="false" ht="23.85" hidden="false" customHeight="false" outlineLevel="0" collapsed="false">
      <c r="A28" s="9" t="s">
        <v>462</v>
      </c>
      <c r="B28" s="9" t="s">
        <v>515</v>
      </c>
      <c r="C28" s="9" t="s">
        <v>438</v>
      </c>
      <c r="D28" s="9" t="s">
        <v>516</v>
      </c>
      <c r="E28" s="9" t="s">
        <v>438</v>
      </c>
      <c r="F28" s="9" t="s">
        <v>396</v>
      </c>
      <c r="G28" s="9" t="s">
        <v>438</v>
      </c>
      <c r="H28" s="9" t="s">
        <v>438</v>
      </c>
      <c r="I28" s="9" t="s">
        <v>517</v>
      </c>
      <c r="J28"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518</v>
      </c>
    </row>
    <row r="3" customFormat="false" ht="15" hidden="false" customHeight="false" outlineLevel="0" collapsed="false">
      <c r="A3" s="33" t="s">
        <v>519</v>
      </c>
      <c r="B3" s="33" t="s">
        <v>520</v>
      </c>
      <c r="C3" s="33" t="s">
        <v>521</v>
      </c>
    </row>
    <row r="4" customFormat="false" ht="42" hidden="false" customHeight="true" outlineLevel="0" collapsed="false">
      <c r="A4" s="34" t="s">
        <v>522</v>
      </c>
      <c r="B4" s="9" t="s">
        <v>523</v>
      </c>
      <c r="C4" s="9" t="s">
        <v>524</v>
      </c>
    </row>
    <row r="5" customFormat="false" ht="42" hidden="false" customHeight="true" outlineLevel="0" collapsed="false">
      <c r="A5" s="34" t="s">
        <v>525</v>
      </c>
      <c r="B5" s="9" t="s">
        <v>526</v>
      </c>
      <c r="C5" s="9" t="s">
        <v>527</v>
      </c>
    </row>
    <row r="6" customFormat="false" ht="42" hidden="false" customHeight="true" outlineLevel="0" collapsed="false">
      <c r="A6" s="34" t="s">
        <v>528</v>
      </c>
      <c r="B6" s="9" t="s">
        <v>529</v>
      </c>
      <c r="C6" s="9" t="s">
        <v>530</v>
      </c>
    </row>
    <row r="7" customFormat="false" ht="42" hidden="false" customHeight="true" outlineLevel="0" collapsed="false">
      <c r="A7" s="34" t="s">
        <v>531</v>
      </c>
      <c r="B7" s="9" t="s">
        <v>526</v>
      </c>
      <c r="C7" s="9" t="s">
        <v>532</v>
      </c>
    </row>
    <row r="8" customFormat="false" ht="42" hidden="false" customHeight="true" outlineLevel="0" collapsed="false">
      <c r="A8" s="34" t="s">
        <v>533</v>
      </c>
      <c r="B8" s="9" t="s">
        <v>526</v>
      </c>
      <c r="C8" s="9" t="s">
        <v>534</v>
      </c>
    </row>
    <row r="9" customFormat="false" ht="42" hidden="false" customHeight="true" outlineLevel="0" collapsed="false">
      <c r="A9" s="34" t="s">
        <v>535</v>
      </c>
      <c r="B9" s="9" t="s">
        <v>526</v>
      </c>
      <c r="C9" s="9" t="s">
        <v>536</v>
      </c>
    </row>
    <row r="10" customFormat="false" ht="42" hidden="false" customHeight="true" outlineLevel="0" collapsed="false">
      <c r="A10" s="34" t="s">
        <v>537</v>
      </c>
      <c r="B10" s="9" t="s">
        <v>523</v>
      </c>
      <c r="C10" s="9" t="s">
        <v>538</v>
      </c>
    </row>
    <row r="11" customFormat="false" ht="42" hidden="false" customHeight="true" outlineLevel="0" collapsed="false">
      <c r="A11" s="34" t="s">
        <v>539</v>
      </c>
      <c r="B11" s="9" t="s">
        <v>540</v>
      </c>
      <c r="C11" s="9" t="s">
        <v>541</v>
      </c>
    </row>
    <row r="12" customFormat="false" ht="42" hidden="false" customHeight="true" outlineLevel="0" collapsed="false">
      <c r="A12" s="34" t="s">
        <v>542</v>
      </c>
      <c r="B12" s="9" t="s">
        <v>543</v>
      </c>
      <c r="C12" s="9" t="s">
        <v>544</v>
      </c>
    </row>
    <row r="14" customFormat="false" ht="15" hidden="false" customHeight="false" outlineLevel="0" collapsed="false">
      <c r="A14" s="4" t="s">
        <v>545</v>
      </c>
    </row>
    <row r="15" customFormat="false" ht="30" hidden="false" customHeight="true" outlineLevel="0" collapsed="false">
      <c r="A15" s="59" t="s">
        <v>546</v>
      </c>
      <c r="B15" s="59"/>
      <c r="C15" s="59"/>
    </row>
    <row r="16" customFormat="false" ht="30" hidden="false" customHeight="true" outlineLevel="0" collapsed="false">
      <c r="A16" s="59" t="s">
        <v>547</v>
      </c>
      <c r="B16" s="59"/>
      <c r="C16" s="59"/>
    </row>
    <row r="17" customFormat="false" ht="30" hidden="false" customHeight="true" outlineLevel="0" collapsed="false">
      <c r="A17" s="59" t="s">
        <v>548</v>
      </c>
      <c r="B17" s="59"/>
      <c r="C17" s="59"/>
    </row>
    <row r="18" customFormat="false" ht="30" hidden="false" customHeight="true" outlineLevel="0" collapsed="false">
      <c r="A18" s="59" t="s">
        <v>549</v>
      </c>
      <c r="B18" s="59"/>
      <c r="C18" s="59"/>
    </row>
  </sheetData>
  <mergeCells count="4">
    <mergeCell ref="A15:C15"/>
    <mergeCell ref="A16:C16"/>
    <mergeCell ref="A17:C17"/>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2026-10-09T16:10:49Z</dcterms:created>
  <dc:creator>openpyxl</dc:creator>
  <dc:description/>
  <dc:language>en-US</dc:language>
  <cp:lastModifiedBy/>
  <dcterms:modified xsi:type="dcterms:W3CDTF">2026-10-09T16:10:49Z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