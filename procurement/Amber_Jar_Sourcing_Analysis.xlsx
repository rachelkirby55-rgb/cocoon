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Inputs" sheetId="2" state="visible" r:id="rId4"/>
    <sheet name="Capsule Sizing" sheetId="3" state="visible" r:id="rId5"/>
    <sheet name="Regular Finish – Top 3" sheetId="4" state="visible" r:id="rId6"/>
    <sheet name="Frosted Finish – Top 3" sheetId="5" state="visible" r:id="rId7"/>
    <sheet name="Split Plan – Local vs China" sheetId="6" state="visible" r:id="rId8"/>
    <sheet name="All Suppliers Screened" sheetId="7" state="visible" r:id="rId9"/>
    <sheet name="Next Steps &amp; Questions" sheetId="8" state="visible" r:id="rId10"/>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6" authorId="0">
      <text>
        <r>
          <rPr>
            <sz val="10"/>
            <rFont val="Arial"/>
            <family val="2"/>
          </rPr>
          <t xml:space="preserve">Source: Capsugel Coni-Snap / Torpac capsule size charts.</t>
        </r>
      </text>
    </comment>
    <comment ref="B7" authorId="0">
      <text>
        <r>
          <rPr>
            <sz val="10"/>
            <rFont val="Arial"/>
            <family val="2"/>
          </rPr>
          <t xml:space="preserve">Source: Capsugel Coni-Snap / Torpac capsule size charts.</t>
        </r>
      </text>
    </comment>
    <comment ref="C6" authorId="0">
      <text>
        <r>
          <rPr>
            <sz val="10"/>
            <rFont val="Arial"/>
            <family val="2"/>
          </rPr>
          <t xml:space="preserve">Source: Capsugel Coni-Snap / Torpac capsule size charts.</t>
        </r>
      </text>
    </comment>
    <comment ref="C7" authorId="0">
      <text>
        <r>
          <rPr>
            <sz val="10"/>
            <rFont val="Arial"/>
            <family val="2"/>
          </rPr>
          <t xml:space="preserve">Source: Capsugel Coni-Snap / Torpac capsule size charts.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G7" authorId="0">
      <text>
        <r>
          <rPr>
            <sz val="10"/>
            <rFont val="Arial"/>
            <family val="2"/>
          </rPr>
          <t xml:space="preserve">$11.45/cs at 50–299 cases (base $13.33). burchbottle.com/4oz-Amber-Straight-Sided-Jar-58-400</t>
        </r>
      </text>
    </comment>
    <comment ref="G8" authorId="0">
      <text>
        <r>
          <rPr>
            <sz val="10"/>
            <rFont val="Arial"/>
            <family val="2"/>
          </rPr>
          <t xml:space="preserve">$6.07/cs at 67–479 cases (base $7.38). burchbottle.com/6oz-Amber-Straight-Sided-Jar-63-400</t>
        </r>
      </text>
    </comment>
    <comment ref="G9" authorId="0">
      <text>
        <r>
          <rPr>
            <sz val="10"/>
            <rFont val="Arial"/>
            <family val="2"/>
          </rPr>
          <t xml:space="preserve">$5.24/cs at 40–175 cases (base $5.95). Page header inconsistently says 'clear'. Confirm amber colour + colour match with the 4/6 oz.</t>
        </r>
      </text>
    </comment>
    <comment ref="G16" authorId="0">
      <text>
        <r>
          <rPr>
            <sz val="10"/>
            <rFont val="Arial"/>
            <family val="2"/>
          </rPr>
          <t xml:space="preserve">$12.15/cs at 48–155 cases (base $13.85).</t>
        </r>
      </text>
    </comment>
    <comment ref="G17" authorId="0">
      <text>
        <r>
          <rPr>
            <sz val="10"/>
            <rFont val="Arial"/>
            <family val="2"/>
          </rPr>
          <t xml:space="preserve">$7.40/cs at 60–259 cases (base $7.99).</t>
        </r>
      </text>
    </comment>
    <comment ref="G18" authorId="0">
      <text>
        <r>
          <rPr>
            <sz val="10"/>
            <rFont val="Arial"/>
            <family val="2"/>
          </rPr>
          <t xml:space="preserve">$5.60/cs at 64–175 cases (base $6.35).</t>
        </r>
      </text>
    </comment>
    <comment ref="I25" authorId="0">
      <text>
        <r>
          <rPr>
            <sz val="10"/>
            <rFont val="Arial"/>
            <family val="2"/>
          </rPr>
          <t xml:space="preserve">Xuzhou Das US$0.42 (1K–30K); Xuzhou Yanjia US$0.40 with black PP cap (MOQ 3,000); listings US$0.15–0.55.</t>
        </r>
      </text>
    </comment>
    <comment ref="I26" authorId="0">
      <text>
        <r>
          <rPr>
            <sz val="10"/>
            <rFont val="Arial"/>
            <family val="2"/>
          </rPr>
          <t xml:space="preserve">Heshun Glass lists a true 6 oz 63-400 amber SS jar (price not indexed); 180 ml SS amber with black lid €0.16–0.25 (MOQ 2,000) and US$0.36–0.45 (MOQ 3,000). Must be ≤190 ml to look half full at size 0.</t>
        </r>
      </text>
    </comment>
    <comment ref="I27" authorId="0">
      <text>
        <r>
          <rPr>
            <sz val="10"/>
            <rFont val="Arial"/>
            <family val="2"/>
          </rPr>
          <t xml:space="preserve">Xuzhou Huiju 8/9 oz amber SS 70-400 with black lid US$0.30–0.50 (MOQ 100); Xuzhou Huihe US$0.40–0.65.</t>
        </r>
      </text>
    </comment>
    <comment ref="I34" authorId="0">
      <text>
        <r>
          <rPr>
            <sz val="10"/>
            <rFont val="Arial"/>
            <family val="2"/>
          </rPr>
          <t xml:space="preserve">$0.96/jar listed (sale). Origin: China.</t>
        </r>
      </text>
    </comment>
    <comment ref="I35" authorId="0">
      <text>
        <r>
          <rPr>
            <sz val="10"/>
            <rFont val="Arial"/>
            <family val="2"/>
          </rPr>
          <t xml:space="preserve">$0.99/jar listed. In stock.</t>
        </r>
      </text>
    </comment>
    <comment ref="I36" authorId="0">
      <text>
        <r>
          <rPr>
            <sz val="10"/>
            <rFont val="Arial"/>
            <family val="2"/>
          </rPr>
          <t xml:space="preserve">$0.99/jar listed. In stock.</t>
        </r>
      </text>
    </comment>
    <comment ref="I43" authorId="0">
      <text>
        <r>
          <rPr>
            <sz val="10"/>
            <rFont val="Arial"/>
            <family val="2"/>
          </rPr>
          <t xml:space="preserve">$1.67/jar at 3+ cases, cap included (uline.ca).</t>
        </r>
      </text>
    </comment>
    <comment ref="I44" authorId="0">
      <text>
        <r>
          <rPr>
            <sz val="10"/>
            <rFont val="Arial"/>
            <family val="2"/>
          </rPr>
          <t xml:space="preserve">$2.35/jar at 3+ cases, cap included (uline.ca).</t>
        </r>
      </text>
    </comment>
    <comment ref="I45" authorId="0">
      <text>
        <r>
          <rPr>
            <sz val="10"/>
            <rFont val="Arial"/>
            <family val="2"/>
          </rPr>
          <t xml:space="preserve">$2.35/jar at 3+ cases, cap included (uline.ca).</t>
        </r>
      </text>
    </comment>
    <comment ref="K7" authorId="0">
      <text>
        <r>
          <rPr>
            <sz val="10"/>
            <rFont val="Arial"/>
            <family val="2"/>
          </rPr>
          <t xml:space="preserve">$0.14 at 1,650–9,899 (base $0.16).</t>
        </r>
      </text>
    </comment>
    <comment ref="K8" authorId="0">
      <text>
        <r>
          <rPr>
            <sz val="10"/>
            <rFont val="Arial"/>
            <family val="2"/>
          </rPr>
          <t xml:space="preserve">$0.11 at 1,500+ (base $0.13).</t>
        </r>
      </text>
    </comment>
    <comment ref="K9" authorId="0">
      <text>
        <r>
          <rPr>
            <sz val="10"/>
            <rFont val="Arial"/>
            <family val="2"/>
          </rPr>
          <t xml:space="preserve">$0.15 at 1,150+ (base $0.17).</t>
        </r>
      </text>
    </comment>
    <comment ref="K16" authorId="0">
      <text>
        <r>
          <rPr>
            <sz val="10"/>
            <rFont val="Arial"/>
            <family val="2"/>
          </rPr>
          <t xml:space="preserve">$125 per case of 1,100.</t>
        </r>
      </text>
    </comment>
    <comment ref="K17" authorId="0">
      <text>
        <r>
          <rPr>
            <sz val="10"/>
            <rFont val="Arial"/>
            <family val="2"/>
          </rPr>
          <t xml:space="preserve">$130 per case of 900.</t>
        </r>
      </text>
    </comment>
    <comment ref="K18" authorId="0">
      <text>
        <r>
          <rPr>
            <sz val="10"/>
            <rFont val="Arial"/>
            <family val="2"/>
          </rPr>
          <t xml:space="preserve">$0.22 each.</t>
        </r>
      </text>
    </comment>
    <comment ref="K25" authorId="0">
      <text>
        <r>
          <rPr>
            <sz val="10"/>
            <rFont val="Arial"/>
            <family val="2"/>
          </rPr>
          <t xml:space="preserve">ESTIMATE liner upgrade. 58-400 black PP caps w/ induction/PS liner list at US$0.05–0.06.</t>
        </r>
      </text>
    </comment>
    <comment ref="K26" authorId="0">
      <text>
        <r>
          <rPr>
            <sz val="10"/>
            <rFont val="Arial"/>
            <family val="2"/>
          </rPr>
          <t xml:space="preserve">ESTIMATE.</t>
        </r>
      </text>
    </comment>
    <comment ref="K27" authorId="0">
      <text>
        <r>
          <rPr>
            <sz val="10"/>
            <rFont val="Arial"/>
            <family val="2"/>
          </rPr>
          <t xml:space="preserve">ESTIMATE.</t>
        </r>
      </text>
    </comment>
    <comment ref="K34" authorId="0">
      <text>
        <r>
          <rPr>
            <sz val="10"/>
            <rFont val="Arial"/>
            <family val="2"/>
          </rPr>
          <t xml:space="preserve">PLACEHOLDER – cap price requires login/quote.</t>
        </r>
      </text>
    </comment>
    <comment ref="K35" authorId="0">
      <text>
        <r>
          <rPr>
            <sz val="10"/>
            <rFont val="Arial"/>
            <family val="2"/>
          </rPr>
          <t xml:space="preserve">PLACEHOLDER – quote required.</t>
        </r>
      </text>
    </comment>
    <comment ref="K36" authorId="0">
      <text>
        <r>
          <rPr>
            <sz val="10"/>
            <rFont val="Arial"/>
            <family val="2"/>
          </rPr>
          <t xml:space="preserve">PLACEHOLDER – quote required.</t>
        </r>
      </text>
    </comment>
    <comment ref="K43" authorId="0">
      <text>
        <r>
          <rPr>
            <sz val="10"/>
            <rFont val="Arial"/>
            <family val="2"/>
          </rPr>
          <t xml:space="preserve">Included in jar price.</t>
        </r>
      </text>
    </comment>
    <comment ref="K44" authorId="0">
      <text>
        <r>
          <rPr>
            <sz val="10"/>
            <rFont val="Arial"/>
            <family val="2"/>
          </rPr>
          <t xml:space="preserve">Included in jar price.</t>
        </r>
      </text>
    </comment>
    <comment ref="K45" authorId="0">
      <text>
        <r>
          <rPr>
            <sz val="10"/>
            <rFont val="Arial"/>
            <family val="2"/>
          </rPr>
          <t xml:space="preserve">Included in jar price.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G16" authorId="0">
      <text>
        <r>
          <rPr>
            <sz val="10"/>
            <rFont val="Arial"/>
            <family val="2"/>
          </rPr>
          <t xml:space="preserve">$11.45/cs at 50–299 cases (base $13.33). burchbottle.com/4oz-Amber-Straight-Sided-Jar-58-400</t>
        </r>
      </text>
    </comment>
    <comment ref="G17" authorId="0">
      <text>
        <r>
          <rPr>
            <sz val="10"/>
            <rFont val="Arial"/>
            <family val="2"/>
          </rPr>
          <t xml:space="preserve">$6.07/cs at 67–479 cases (base $7.38). burchbottle.com/6oz-Amber-Straight-Sided-Jar-63-400</t>
        </r>
      </text>
    </comment>
    <comment ref="G18" authorId="0">
      <text>
        <r>
          <rPr>
            <sz val="10"/>
            <rFont val="Arial"/>
            <family val="2"/>
          </rPr>
          <t xml:space="preserve">$5.24/cs at 40–175 cases (base $5.95). Page header inconsistently says 'clear'. Confirm amber colour + colour match with the 4/6 oz.</t>
        </r>
      </text>
    </comment>
    <comment ref="G25" authorId="0">
      <text>
        <r>
          <rPr>
            <sz val="10"/>
            <rFont val="Arial"/>
            <family val="2"/>
          </rPr>
          <t xml:space="preserve">$12.15/cs at 48–155 cases (base $13.85).</t>
        </r>
      </text>
    </comment>
    <comment ref="G26" authorId="0">
      <text>
        <r>
          <rPr>
            <sz val="10"/>
            <rFont val="Arial"/>
            <family val="2"/>
          </rPr>
          <t xml:space="preserve">$7.40/cs at 60–259 cases (base $7.99).</t>
        </r>
      </text>
    </comment>
    <comment ref="G27" authorId="0">
      <text>
        <r>
          <rPr>
            <sz val="10"/>
            <rFont val="Arial"/>
            <family val="2"/>
          </rPr>
          <t xml:space="preserve">$5.60/cs at 64–175 cases (base $6.35).</t>
        </r>
      </text>
    </comment>
    <comment ref="I7" authorId="0">
      <text>
        <r>
          <rPr>
            <sz val="10"/>
            <rFont val="Arial"/>
            <family val="2"/>
          </rPr>
          <t xml:space="preserve">Xuzhou Das lists frosted amber 2/4/8 oz at US$0.41 (2,000–29,999, MOQ 2,000); $0.46 used to stay conservative.</t>
        </r>
      </text>
    </comment>
    <comment ref="I8" authorId="0">
      <text>
        <r>
          <rPr>
            <sz val="10"/>
            <rFont val="Arial"/>
            <family val="2"/>
          </rPr>
          <t xml:space="preserve">Heshun Glass lists a true 6 oz 63-400 amber SS jar (price not indexed); 180 ml SS amber with black lid €0.16–0.25 (MOQ 2,000) and US$0.36–0.45 (MOQ 3,000). Must be ≤190 ml to look half full at size 0.</t>
        </r>
      </text>
    </comment>
    <comment ref="I9" authorId="0">
      <text>
        <r>
          <rPr>
            <sz val="10"/>
            <rFont val="Arial"/>
            <family val="2"/>
          </rPr>
          <t xml:space="preserve">Xuzhou Huiju 8/9 oz amber SS 70-400 with black lid US$0.30–0.50 (MOQ 100); Xuzhou Huihe US$0.40–0.65.</t>
        </r>
      </text>
    </comment>
    <comment ref="I34" authorId="0">
      <text>
        <r>
          <rPr>
            <sz val="10"/>
            <rFont val="Arial"/>
            <family val="2"/>
          </rPr>
          <t xml:space="preserve">US$0.75 indexed; out of stock / not available online at time of indexing.</t>
        </r>
      </text>
    </comment>
    <comment ref="I35" authorId="0">
      <text>
        <r>
          <rPr>
            <sz val="10"/>
            <rFont val="Arial"/>
            <family val="2"/>
          </rPr>
          <t xml:space="preserve">US$1.57 latest (older snapshot $1.42).</t>
        </r>
      </text>
    </comment>
    <comment ref="I36" authorId="0">
      <text>
        <r>
          <rPr>
            <sz val="10"/>
            <rFont val="Arial"/>
            <family val="2"/>
          </rPr>
          <t xml:space="preserve">US$1.57 latest (older snapshot $1.42 with 10,958 in stock).</t>
        </r>
      </text>
    </comment>
    <comment ref="K7" authorId="0">
      <text>
        <r>
          <rPr>
            <sz val="10"/>
            <rFont val="Arial"/>
            <family val="2"/>
          </rPr>
          <t xml:space="preserve">ESTIMATE liner upgrade. 58-400 black PP caps w/ induction/PS liner list at US$0.05–0.06.</t>
        </r>
      </text>
    </comment>
    <comment ref="K8" authorId="0">
      <text>
        <r>
          <rPr>
            <sz val="10"/>
            <rFont val="Arial"/>
            <family val="2"/>
          </rPr>
          <t xml:space="preserve">ESTIMATE.</t>
        </r>
      </text>
    </comment>
    <comment ref="K9" authorId="0">
      <text>
        <r>
          <rPr>
            <sz val="10"/>
            <rFont val="Arial"/>
            <family val="2"/>
          </rPr>
          <t xml:space="preserve">ESTIMATE.</t>
        </r>
      </text>
    </comment>
    <comment ref="K16" authorId="0">
      <text>
        <r>
          <rPr>
            <sz val="10"/>
            <rFont val="Arial"/>
            <family val="2"/>
          </rPr>
          <t xml:space="preserve">$0.14 at 1,650–9,899 (base $0.16).</t>
        </r>
      </text>
    </comment>
    <comment ref="K17" authorId="0">
      <text>
        <r>
          <rPr>
            <sz val="10"/>
            <rFont val="Arial"/>
            <family val="2"/>
          </rPr>
          <t xml:space="preserve">$0.11 at 1,500+ (base $0.13).</t>
        </r>
      </text>
    </comment>
    <comment ref="K18" authorId="0">
      <text>
        <r>
          <rPr>
            <sz val="10"/>
            <rFont val="Arial"/>
            <family val="2"/>
          </rPr>
          <t xml:space="preserve">$0.15 at 1,150+ (base $0.17).</t>
        </r>
      </text>
    </comment>
    <comment ref="K25" authorId="0">
      <text>
        <r>
          <rPr>
            <sz val="10"/>
            <rFont val="Arial"/>
            <family val="2"/>
          </rPr>
          <t xml:space="preserve">$125 per case of 1,100.</t>
        </r>
      </text>
    </comment>
    <comment ref="K26" authorId="0">
      <text>
        <r>
          <rPr>
            <sz val="10"/>
            <rFont val="Arial"/>
            <family val="2"/>
          </rPr>
          <t xml:space="preserve">$130 per case of 900.</t>
        </r>
      </text>
    </comment>
    <comment ref="K27" authorId="0">
      <text>
        <r>
          <rPr>
            <sz val="10"/>
            <rFont val="Arial"/>
            <family val="2"/>
          </rPr>
          <t xml:space="preserve">$0.22 each.</t>
        </r>
      </text>
    </comment>
    <comment ref="K34" authorId="0">
      <text>
        <r>
          <rPr>
            <sz val="10"/>
            <rFont val="Arial"/>
            <family val="2"/>
          </rPr>
          <t xml:space="preserve">ASSUMPTION – cap price based on Burch/Fillmore range.</t>
        </r>
      </text>
    </comment>
    <comment ref="K35" authorId="0">
      <text>
        <r>
          <rPr>
            <sz val="10"/>
            <rFont val="Arial"/>
            <family val="2"/>
          </rPr>
          <t xml:space="preserve">ASSUMPTION.</t>
        </r>
      </text>
    </comment>
    <comment ref="K36" authorId="0">
      <text>
        <r>
          <rPr>
            <sz val="10"/>
            <rFont val="Arial"/>
            <family val="2"/>
          </rPr>
          <t xml:space="preserve">ASSUMPTION.</t>
        </r>
      </text>
    </comment>
  </commentList>
</comments>
</file>

<file path=xl/sharedStrings.xml><?xml version="1.0" encoding="utf-8"?>
<sst xmlns="http://schemas.openxmlformats.org/spreadsheetml/2006/main" count="1266" uniqueCount="537">
  <si>
    <t xml:space="preserve">Cocoon Supplements – Amber Straight-Sided Jar Sourcing</t>
  </si>
  <si>
    <t xml:space="preserve">Prepared by the procurement agent, updated Oct 9, 2026. Landed cost = jar + cap + freight, brokerage and one-time costs, in CAD per unit. Order: 2,000 units per SKU (Balance 30ct, new 60ct, new 90ct).</t>
  </si>
  <si>
    <t xml:space="preserve">⚠ NEW: Canada has reportedly applied a 50% surtax to US-MADE glass containers since Sept 8, 2026 (US Surtax Order 2026). It applies by where the jar was made, not where it ships from. Ask the US suppliers for country of origin before ordering. Both cases are shown below.</t>
  </si>
  <si>
    <t xml:space="preserve">Benchmark (bottle + lid, CAD/unit)</t>
  </si>
  <si>
    <t xml:space="preserve">Implied max from the previous manufacturer's $3.74 all-in quote minus the $0.30 label. Enter your current manufacturer's figure on Inputs.</t>
  </si>
  <si>
    <t xml:space="preserve">REGULAR (glossy) – Top 3 single-source options (all 6,000 jars from one supplier)</t>
  </si>
  <si>
    <t xml:space="preserve">Rank</t>
  </si>
  <si>
    <t xml:space="preserve">Option</t>
  </si>
  <si>
    <t xml:space="preserve">Jar sizes (30 / 60 / 90 ct)</t>
  </si>
  <si>
    <t xml:space="preserve">Landed CAD/unit</t>
  </si>
  <si>
    <t xml:space="preserve">Landed if US-made (surtax)</t>
  </si>
  <si>
    <t xml:space="preserve">Total 6,000 (CAD)</t>
  </si>
  <si>
    <t xml:space="preserve">Lead time</t>
  </si>
  <si>
    <t xml:space="preserve">Key pros</t>
  </si>
  <si>
    <t xml:space="preserve">Key risks / flags</t>
  </si>
  <si>
    <t xml:space="preserve">#1</t>
  </si>
  <si>
    <t xml:space="preserve">Burch Bottle &amp; Packaging (US)</t>
  </si>
  <si>
    <t xml:space="preserve">4 oz / 6 oz / 9 oz</t>
  </si>
  <si>
    <t xml:space="preserve">~1–2 wks + freight</t>
  </si>
  <si>
    <t xml:space="preserve">Lowest local cost; true 6 oz; deep stock; PS22 tamper-evident cap option</t>
  </si>
  <si>
    <t xml:space="preserve">Origin unknown (surtax risk); confirm 9 oz colour; USD/FX</t>
  </si>
  <si>
    <t xml:space="preserve">#2</t>
  </si>
  <si>
    <t xml:space="preserve">Fillmore Container (US)</t>
  </si>
  <si>
    <t xml:space="preserve">Confirms shipping to Canada; same 4/6/9 line</t>
  </si>
  <si>
    <t xml:space="preserve">~10% dearer than Burch; origin unknown (surtax risk)</t>
  </si>
  <si>
    <t xml:space="preserve">#3</t>
  </si>
  <si>
    <t xml:space="preserve">China direct factory</t>
  </si>
  <si>
    <t xml:space="preserve">120 / 180–190 / 250–270 ml</t>
  </si>
  <si>
    <t xml:space="preserve">10–13 weeks</t>
  </si>
  <si>
    <t xml:space="preserve">Cheapest; no surtax; duty Free</t>
  </si>
  <si>
    <t xml:space="preserve">Too slow for the urgent launch; RFQ + samples + QC needed; neck matching</t>
  </si>
  <si>
    <t xml:space="preserve">FROSTED / MATTE – Top 3 single-source options</t>
  </si>
  <si>
    <t xml:space="preserve">China direct factory (frosted)</t>
  </si>
  <si>
    <t xml:space="preserve">Far cheapest; true etched frost; no surtax</t>
  </si>
  <si>
    <t xml:space="preserve">Too slow for the urgent launch; 180–190 ml frosted needs RFQ; QC risk</t>
  </si>
  <si>
    <t xml:space="preserve">Burch + Canadian spray-frost</t>
  </si>
  <si>
    <t xml:space="preserve">~3–6 weeks</t>
  </si>
  <si>
    <t xml:space="preserve">North American; true 6 oz; frost done in Canada</t>
  </si>
  <si>
    <t xml:space="preserve">Frost cost is an estimate; spray can scuff; surtax risk on jars</t>
  </si>
  <si>
    <t xml:space="preserve">Fillmore + Canadian spray-frost</t>
  </si>
  <si>
    <t xml:space="preserve">As #2; Fillmore ships to Canada</t>
  </si>
  <si>
    <t xml:space="preserve">Slightly dearer than #2; same risks</t>
  </si>
  <si>
    <t xml:space="preserve">SPLIT PLAN – one launch SKU bought locally now, the other two from China (details on 'Split Plan' sheet)</t>
  </si>
  <si>
    <t xml:space="preserve">Plan</t>
  </si>
  <si>
    <t xml:space="preserve">Description</t>
  </si>
  <si>
    <t xml:space="preserve">Total (CAD)</t>
  </si>
  <si>
    <t xml:space="preserve">Total if US-made</t>
  </si>
  <si>
    <t xml:space="preserve">vs all-local</t>
  </si>
  <si>
    <t xml:space="preserve">vs all-local (surtax)</t>
  </si>
  <si>
    <t xml:space="preserve">R-A</t>
  </si>
  <si>
    <t xml:space="preserve">R-B1</t>
  </si>
  <si>
    <t xml:space="preserve">R-B2</t>
  </si>
  <si>
    <t xml:space="preserve">R-B2c</t>
  </si>
  <si>
    <t xml:space="preserve">F-A</t>
  </si>
  <si>
    <t xml:space="preserve">F-B1</t>
  </si>
  <si>
    <t xml:space="preserve">F-B2</t>
  </si>
  <si>
    <t xml:space="preserve">F-B2s</t>
  </si>
  <si>
    <t xml:space="preserve">Recommendation (on current estimates – verify with quotes)</t>
  </si>
  <si>
    <t xml:space="preserve">REGULAR finish:</t>
  </si>
  <si>
    <t xml:space="preserve">  • If the Burch jars are NOT US-made: buy all 6,000 locally from Burch. A split saves almost nothing (glass is cheap; China's freight/QC is fixed) and adds 3 months plus quality risk.</t>
  </si>
  <si>
    <t xml:space="preserve">FROSTED finish:</t>
  </si>
  <si>
    <t xml:space="preserve">WHICH SKU TO LAUNCH FIRST: the 90ct. Its 9 oz jar has Canadian stock (Richards) and stock frosted options. Every 6 oz sold in North America comes through a US distributor.</t>
  </si>
  <si>
    <t xml:space="preserve">SIZES (half-full rule): 4 oz for Balance (same look as today), a 6 oz / 180–190 ml jar for the 60ct, and a 9 oz / 250–270 ml jar for the 90ct. No option with only 2 jar sizes passes.</t>
  </si>
  <si>
    <t xml:space="preserve">FIRST ACTIONS: (1) your manufacturer can fill straight-sided jars? (2) country of origin from Burch/Fillmore/Richards; (3) China RFQ + samples. See 'Next Steps &amp; Questions'.</t>
  </si>
  <si>
    <t xml:space="preserve">Inputs &amp; Assumptions</t>
  </si>
  <si>
    <t xml:space="preserve">Blue text on yellow = editable input. Every other sheet recalculates from these cells. Replace estimates with real quotes as they arrive.</t>
  </si>
  <si>
    <t xml:space="preserve">ORDER &amp; BENCHMARK</t>
  </si>
  <si>
    <t xml:space="preserve">Units per SKU per order</t>
  </si>
  <si>
    <t xml:space="preserve">From owner: ~2K per SKU.</t>
  </si>
  <si>
    <t xml:space="preserve">Number of SKUs</t>
  </si>
  <si>
    <t xml:space="preserve">Balance (30x size 0) + new 60ct + new 90ct.</t>
  </si>
  <si>
    <t xml:space="preserve">USD → CAD exchange rate</t>
  </si>
  <si>
    <t xml:space="preserve">Assumption, Oct 2026. Update to your bank's rate on order day.</t>
  </si>
  <si>
    <t xml:space="preserve">Previous manufacturer – all-in packaging quote (CAD/unit)</t>
  </si>
  <si>
    <t xml:space="preserve">From owner: bottle + lid + label + seal + bubble wrap. Currency assumed CAD.</t>
  </si>
  <si>
    <t xml:space="preserve">Estimated label cost (CAD/unit)</t>
  </si>
  <si>
    <t xml:space="preserve">From owner's estimate.</t>
  </si>
  <si>
    <t xml:space="preserve">Implied MAX bottle + lid benchmark (CAD/unit)</t>
  </si>
  <si>
    <t xml:space="preserve">Upper bound only – the $3.74 also includes seal + bubble wrap, so true bottle + lid cost is lower.</t>
  </si>
  <si>
    <t xml:space="preserve">Current manufacturer bottle + lid cost (CAD/unit) – TO CONFIRM</t>
  </si>
  <si>
    <t xml:space="preserve">Fill in once your current manufacturer confirms. Leave blank to use the implied max above.</t>
  </si>
  <si>
    <t xml:space="preserve">Benchmark used in comparisons (CAD/unit)</t>
  </si>
  <si>
    <t xml:space="preserve">Uses the confirmed figure if entered, else the implied max.</t>
  </si>
  <si>
    <t xml:space="preserve">FREIGHT – FULL ORDER (all 6,000 from one source)</t>
  </si>
  <si>
    <t xml:space="preserve">US → Canada LTL freight, ~2–3 pallets (USD)</t>
  </si>
  <si>
    <t xml:space="preserve">ESTIMATE: midpoint of US$700–1,400. Get freight quotes to your postal code.</t>
  </si>
  <si>
    <t xml:space="preserve">Customs brokerage, US import (CAD)</t>
  </si>
  <si>
    <t xml:space="preserve">ESTIMATE: CAD 150–300 typical.</t>
  </si>
  <si>
    <t xml:space="preserve">Domestic Canada freight, ~2–3 pallets (CAD)</t>
  </si>
  <si>
    <t xml:space="preserve">ESTIMATE for Canadian-warehouse suppliers (Richards, Uline).</t>
  </si>
  <si>
    <t xml:space="preserve">China → your door, LCL ~3.5 m³ incl. port fees, brokerage, delivery (CAD)</t>
  </si>
  <si>
    <t xml:space="preserve">ESTIMATE. Research put a 2.5 m³ shipment at ~CAD 1,500 (range 900–2,500); scaled up for 6,000 jars.</t>
  </si>
  <si>
    <t xml:space="preserve">FREIGHT – SPLIT ORDER (one SKU local, two SKUs from China)</t>
  </si>
  <si>
    <t xml:space="preserve">US → Canada LTL, ONE pallet ~2,000 jars (USD)</t>
  </si>
  <si>
    <t xml:space="preserve">ESTIMATE: US$300–550 for a 900–1,300 lb pallet (Freightera samples ~US$260–280 for 500 lb NY→Toronto).</t>
  </si>
  <si>
    <t xml:space="preserve">Customs brokerage, one-pallet US import (CAD)</t>
  </si>
  <si>
    <t xml:space="preserve">ESTIMATE: CAD 80–250.</t>
  </si>
  <si>
    <t xml:space="preserve">Domestic Canada freight, ONE pallet (CAD)</t>
  </si>
  <si>
    <t xml:space="preserve">ESTIMATE: CAD 150–450 (Freightera samples).</t>
  </si>
  <si>
    <t xml:space="preserve">China → your door, LCL for 4 oz + 9 oz (~2.5 m³) (CAD)</t>
  </si>
  <si>
    <t xml:space="preserve">ESTIMATE: ocean ~US$375 + destination ~US$300 + forwarder ~US$75 + brokerage ~CAD 175 + delivery ~CAD 250. Range CAD 900–2,500.</t>
  </si>
  <si>
    <t xml:space="preserve">China → your door, LCL for 4 oz + 6 oz (~2.1 m³) (CAD)</t>
  </si>
  <si>
    <t xml:space="preserve">ESTIMATE, as above for a slightly smaller shipment.</t>
  </si>
  <si>
    <t xml:space="preserve">China samples + third-party QC inspection + wire fees (CAD, one-time)</t>
  </si>
  <si>
    <t xml:space="preserve">ESTIMATE.</t>
  </si>
  <si>
    <t xml:space="preserve">DUTY &amp; SURTAX</t>
  </si>
  <si>
    <t xml:space="preserve">Import duty, glass jars HS 7010.90 (MFN – applies to China and US)</t>
  </si>
  <si>
    <t xml:space="preserve">MFN rate = Free per CBSA Customs Tariff T2026, ch. 70 (search-indexed copy). Confirm with your broker.</t>
  </si>
  <si>
    <t xml:space="preserve">Canadian surtax on US-MADE glass containers</t>
  </si>
  <si>
    <t xml:space="preserve">REPORTED, NOT YET CONFIRMED: US Surtax Order (2026), CBSA Customs Notice 26-23, in force Sept 8, 2026 – 'glass containers' at 50%. Applies by country of ORIGIN (where the jar was made), not where it ships from. Confirm the tariff item with a customs broker.</t>
  </si>
  <si>
    <t xml:space="preserve">FROSTING / DECORATION (estimates – quote required)</t>
  </si>
  <si>
    <t xml:space="preserve">North American spray-frost per jar (CAD)</t>
  </si>
  <si>
    <t xml:space="preserve">ESTIMATE: CAD 0.30–0.60/jar (e.g. Stanpac Ink, Ontario). Quote required.</t>
  </si>
  <si>
    <t xml:space="preserve">North American spray-frost setup per SKU (CAD)</t>
  </si>
  <si>
    <t xml:space="preserve">ESTIMATE: CAD 300–1,000 per SKU.</t>
  </si>
  <si>
    <t xml:space="preserve">Freight to/from decorator (CAD)</t>
  </si>
  <si>
    <t xml:space="preserve">Capsule Fill Sizing – which jar fits each SKU and looks at least half full?</t>
  </si>
  <si>
    <t xml:space="preserve">Volume needed depends on the capsules, not the container shape. A straight-sided jar needs the same cc as a packer bottle; it's just shorter and wider. In a straight-sided jar the fill line rises evenly, so 'pile %' ≈ how full it looks.</t>
  </si>
  <si>
    <t xml:space="preserve">Capsule specs</t>
  </si>
  <si>
    <t xml:space="preserve">Capsule size</t>
  </si>
  <si>
    <t xml:space="preserve">Closed length (mm)</t>
  </si>
  <si>
    <t xml:space="preserve">Outer diameter (mm)</t>
  </si>
  <si>
    <t xml:space="preserve">Envelope volume per capsule (cc)</t>
  </si>
  <si>
    <t xml:space="preserve">Pile volume per capsule – capsules only (cc)</t>
  </si>
  <si>
    <t xml:space="preserve">Space needed per capsule incl. headspace (cc)</t>
  </si>
  <si>
    <t xml:space="preserve">0</t>
  </si>
  <si>
    <t xml:space="preserve">00</t>
  </si>
  <si>
    <t xml:space="preserve">Assumptions</t>
  </si>
  <si>
    <t xml:space="preserve">Packing fraction (share of space filled by randomly poured capsules)</t>
  </si>
  <si>
    <t xml:space="preserve">Random-packing estimate for capsule shapes. Calibrated to industry bottle charts (60x0 → 120cc, 90x0 → 175cc).</t>
  </si>
  <si>
    <t xml:space="preserve">Headspace allowance</t>
  </si>
  <si>
    <t xml:space="preserve">Room for cotton/desiccant and so the cap closes without crushing capsules.</t>
  </si>
  <si>
    <t xml:space="preserve">Owner rule: minimum visible fill</t>
  </si>
  <si>
    <t xml:space="preserve">From owner: no jar may look less than half full.</t>
  </si>
  <si>
    <t xml:space="preserve">Max space used before 'tight'</t>
  </si>
  <si>
    <t xml:space="preserve">Jar capacities (nominal)</t>
  </si>
  <si>
    <t xml:space="preserve">Jar</t>
  </si>
  <si>
    <t xml:space="preserve">Capacity (ml)</t>
  </si>
  <si>
    <t xml:space="preserve">Neck finish</t>
  </si>
  <si>
    <t xml:space="preserve">4 oz</t>
  </si>
  <si>
    <t xml:space="preserve">58-400</t>
  </si>
  <si>
    <t xml:space="preserve">Nominal (label) capacity. Brim-full capacity is typically 10–15% higher, so the 'space used' results are conservative and the 'looks full' results are slightly generous.</t>
  </si>
  <si>
    <t xml:space="preserve">6 oz</t>
  </si>
  <si>
    <t xml:space="preserve">63-400</t>
  </si>
  <si>
    <t xml:space="preserve">190 ml (China)</t>
  </si>
  <si>
    <t xml:space="preserve">~63 mm</t>
  </si>
  <si>
    <t xml:space="preserve">8 oz</t>
  </si>
  <si>
    <t xml:space="preserve">70-400</t>
  </si>
  <si>
    <t xml:space="preserve">250 ml (China)</t>
  </si>
  <si>
    <t xml:space="preserve">~70 mm</t>
  </si>
  <si>
    <t xml:space="preserve">9 oz</t>
  </si>
  <si>
    <t xml:space="preserve">How full will it LOOK? (capsule pile ÷ jar capacity; red = below the half-full rule)</t>
  </si>
  <si>
    <t xml:space="preserve">SKU / scenario</t>
  </si>
  <si>
    <t xml:space="preserve">Count</t>
  </si>
  <si>
    <t xml:space="preserve">Pile (cc)</t>
  </si>
  <si>
    <t xml:space="preserve">Needed incl. headspace (cc)</t>
  </si>
  <si>
    <t xml:space="preserve">Balance – 30ct (current)</t>
  </si>
  <si>
    <t xml:space="preserve">New A – 60ct (if size 00)</t>
  </si>
  <si>
    <t xml:space="preserve">New A – 60ct (if size 0)</t>
  </si>
  <si>
    <t xml:space="preserve">New B – 90ct (if size 00)</t>
  </si>
  <si>
    <t xml:space="preserve">New B – 90ct (if size 0)</t>
  </si>
  <si>
    <t xml:space="preserve">Verdict per jar (OK · Tight – test · Looks &lt; half · Too small)</t>
  </si>
  <si>
    <t xml:space="preserve">Takeaways</t>
  </si>
  <si>
    <t xml:space="preserve">• Balance (30ct) in a 4 oz jar: the pile is ~41% of the jar, just under half. That's the same as today's 120cc bottle. The owner chose to keep it. Confirm with a 30-capsule pour test.</t>
  </si>
  <si>
    <t xml:space="preserve">  No North American stock line has a 2.5–3 oz amber straight-sided jar (they jump from 2 oz to 4 oz), so there is no easy smaller jar.</t>
  </si>
  <si>
    <t xml:space="preserve">• 60ct: must be a 6 oz / 177–190 ml jar. An 8–9 oz jar looks less than half full if production lands on size 0. Avoid anything over ~190 ml (e.g. a Chinese 7 oz / 200 ml).</t>
  </si>
  <si>
    <t xml:space="preserve">• 90ct: a 9 oz (266 ml) jar works for size 0 or 00. A 250 ml jar works but is close to the limit for size 00. An 8 oz is tight for size 00.</t>
  </si>
  <si>
    <t xml:space="preserve">• So every option now needs three jar sizes: ~4 oz, ~6 oz and ~9 oz. Lines with only 4 + 8/9 oz (Uline, Richards, Liquid Bottles) can't do the 60ct.</t>
  </si>
  <si>
    <t xml:space="preserve">• These are estimates. Before ordering at volume, fill one sample jar of each size with real capsules.</t>
  </si>
  <si>
    <t xml:space="preserve">Amber Straight-Sided Jars – REGULAR (glossy) finish: Top 3 single-source options, all 6,000 jars</t>
  </si>
  <si>
    <t xml:space="preserve">Ranked by landed cost (CAD/unit). Each option must fit all 3 SKUs AND pass the half-full rule, so the 60ct needs a ~6 oz jar. The 'if US-made' columns add the reported 50% surtax. Prices are from indexed supplier pages, Oct 2026 – verify by quote.</t>
  </si>
  <si>
    <t xml:space="preserve">#1  BURCH BOTTLE &amp; PACKAGING (New York, US)  –  4 oz / 6 oz / 9 oz, black PP caps</t>
  </si>
  <si>
    <t xml:space="preserve">Lowest North American cost. One of only three distributors with a true 6 oz amber (the others are Fillmore and Containers &amp; Packaging Supply). Volume tiers published; deep stock. Country of origin unknown; if the jars are US-made the 50% surtax applies.</t>
  </si>
  <si>
    <t xml:space="preserve">SKU</t>
  </si>
  <si>
    <t xml:space="preserve">Jar used</t>
  </si>
  <si>
    <t xml:space="preserve">Supplier item #</t>
  </si>
  <si>
    <t xml:space="preserve">Neck</t>
  </si>
  <si>
    <t xml:space="preserve">Qty</t>
  </si>
  <si>
    <t xml:space="preserve">Currency</t>
  </si>
  <si>
    <t xml:space="preserve">Jar case price</t>
  </si>
  <si>
    <t xml:space="preserve">Case pack</t>
  </si>
  <si>
    <t xml:space="preserve">Jar unit price</t>
  </si>
  <si>
    <t xml:space="preserve">Cap / liner</t>
  </si>
  <si>
    <t xml:space="preserve">Cap unit price</t>
  </si>
  <si>
    <t xml:space="preserve">FX to CAD</t>
  </si>
  <si>
    <t xml:space="preserve">Jar + cap (CAD/unit)</t>
  </si>
  <si>
    <t xml:space="preserve">Decoration (CAD/unit)</t>
  </si>
  <si>
    <t xml:space="preserve">Freight &amp; one-time costs (CAD/unit)</t>
  </si>
  <si>
    <t xml:space="preserve">LANDED (CAD/unit)</t>
  </si>
  <si>
    <t xml:space="preserve">Extended (CAD)</t>
  </si>
  <si>
    <t xml:space="preserve">50% surtax IF jar is US-made (CAD/unit)</t>
  </si>
  <si>
    <t xml:space="preserve">LANDED if US-made (CAD/unit)</t>
  </si>
  <si>
    <t xml:space="preserve">Extended if US-made (CAD)</t>
  </si>
  <si>
    <t xml:space="preserve">vs benchmark (CAD/unit)</t>
  </si>
  <si>
    <t xml:space="preserve">Price status</t>
  </si>
  <si>
    <t xml:space="preserve">Balance – 30x size 0</t>
  </si>
  <si>
    <t xml:space="preserve">1SSA042GHG</t>
  </si>
  <si>
    <t xml:space="preserve">USD</t>
  </si>
  <si>
    <t xml:space="preserve">2BP0581PX black PP ribbed, F217 liner</t>
  </si>
  <si>
    <t xml:space="preserve">Indexed web price at volume break – verify by quote</t>
  </si>
  <si>
    <t xml:space="preserve">New A – 60ct (0 or 00)</t>
  </si>
  <si>
    <t xml:space="preserve">1SSA062GHG</t>
  </si>
  <si>
    <t xml:space="preserve">2BP0632PX black PP, F217 liner</t>
  </si>
  <si>
    <t xml:space="preserve">New B – 90ct (0 or 00)</t>
  </si>
  <si>
    <t xml:space="preserve">1SSA092SGC</t>
  </si>
  <si>
    <t xml:space="preserve">2BP0701PX black PP, F217 liner (PS22 tamper-evident version: 2BP0706MR)</t>
  </si>
  <si>
    <t xml:space="preserve">Indexed web price at volume break – verify by quote. Confirm colour is amber.</t>
  </si>
  <si>
    <t xml:space="preserve">TOTAL / weighted average</t>
  </si>
  <si>
    <t xml:space="preserve">One-time / shared costs (freight, brokerage, setup, QC) allocated across all units:</t>
  </si>
  <si>
    <t xml:space="preserve">Calc: US LTL freight × FX + brokerage (Inputs)</t>
  </si>
  <si>
    <t xml:space="preserve">#2  FILLMORE CONTAINER (Pennsylvania, US)  –  4 oz / 6 oz / 9 oz, black PP caps</t>
  </si>
  <si>
    <t xml:space="preserve">Same 4/6/9 oz structure as Burch, ~10% higher. FAQ confirms ground and freight shipping to Canada (buyer pays duties/fees). Country of origin unknown.</t>
  </si>
  <si>
    <t xml:space="preserve">R04-30C (case 24)</t>
  </si>
  <si>
    <t xml:space="preserve">RC-058 PBMR black PP, F217 liner</t>
  </si>
  <si>
    <t xml:space="preserve">B06-30C (case 12)</t>
  </si>
  <si>
    <t xml:space="preserve">63-400 black PP ribbed, F217 liner</t>
  </si>
  <si>
    <t xml:space="preserve">B09-30C (case 12)</t>
  </si>
  <si>
    <t xml:space="preserve">70-400 black PP, F217 liner</t>
  </si>
  <si>
    <t xml:space="preserve">#3  CHINA DIRECT FACTORY  –  120 ml / 180–190 ml / 250–270 ml, black PP caps + glass-rated liner</t>
  </si>
  <si>
    <t xml:space="preserve">Cheapest even with LCL freight and QC costs, and no surtax (MFN duty Free). BUT 10–13 weeks including sampling, so it can't serve the urgent launch. No single factory listed all three necks; make 58/63/70-400 a hard RFQ requirement.</t>
  </si>
  <si>
    <t xml:space="preserve">120 ml</t>
  </si>
  <si>
    <t xml:space="preserve">amber SS jar – Xuzhou Das / Yanjia</t>
  </si>
  <si>
    <t xml:space="preserve">58-400 (specify)</t>
  </si>
  <si>
    <t xml:space="preserve">n/a</t>
  </si>
  <si>
    <t xml:space="preserve">Upgrade to glass-rated induction or PS22 liner (basic black PP cap incl. in jar price)</t>
  </si>
  <si>
    <t xml:space="preserve">ESTIMATE from Alibaba / Made-in-China listings – RFQ required</t>
  </si>
  <si>
    <t xml:space="preserve">180–190 ml</t>
  </si>
  <si>
    <t xml:space="preserve">amber SS jar – Heshun 6 oz 63-400 / 180 ml sellers</t>
  </si>
  <si>
    <t xml:space="preserve">63-400 (specify)</t>
  </si>
  <si>
    <t xml:space="preserve">Glass-rated liner upgrade</t>
  </si>
  <si>
    <t xml:space="preserve">ESTIMATE from Alibaba / Made-in-China listings – RFQ required. 180–190 ml is less standard – confirm by RFQ.</t>
  </si>
  <si>
    <t xml:space="preserve">250–270 ml</t>
  </si>
  <si>
    <t xml:space="preserve">amber SS jar – Xuzhou Huiju 8/9 oz 70-400</t>
  </si>
  <si>
    <t xml:space="preserve">ESTIMATE from Alibaba / Made-in-China listings – RFQ required. Prefer ≥260 ml brim-full.</t>
  </si>
  <si>
    <t xml:space="preserve">Calc: China LCL door-to-door + samples/QC (Inputs)</t>
  </si>
  <si>
    <t xml:space="preserve">REFERENCE (fails the half-full rule for the 60ct):  RICHARDS PACKAGING (Canada)  –  4 oz / 9 oz</t>
  </si>
  <si>
    <t xml:space="preserve">Canadian stock, CAD pricing, no border. Origin of the 4 oz is China, so no surtax. No 6 oz, so it can't do the 60ct. Its 9 oz IS a strong option for the 90ct in a split order (see Split Plan sheet). Cap price is a placeholder (quote required).</t>
  </si>
  <si>
    <t xml:space="preserve">RP-1159A / 40210181</t>
  </si>
  <si>
    <t xml:space="preserve">CAD</t>
  </si>
  <si>
    <t xml:space="preserve">58-400 black PP smooth, F217 liner</t>
  </si>
  <si>
    <t xml:space="preserve">Jar: indexed web price. Cap: QUOTE REQUIRED (placeholder)</t>
  </si>
  <si>
    <t xml:space="preserve">New A – 60ct ✗ (9 oz looks &lt; half)</t>
  </si>
  <si>
    <t xml:space="preserve">RP-1001A / 40220146</t>
  </si>
  <si>
    <t xml:space="preserve">70-400 black PP</t>
  </si>
  <si>
    <t xml:space="preserve">FAILS half-full rule for 60ct</t>
  </si>
  <si>
    <t xml:space="preserve">Calc: Domestic Canada freight (Inputs)</t>
  </si>
  <si>
    <t xml:space="preserve">REFERENCE (fails the half-full rule for the 60ct):  ULINE CANADA – the jar your designer linked  –  4 oz / 8 oz</t>
  </si>
  <si>
    <t xml:space="preserve">Fast and Canadian, but about 2x the cost. No 6 oz. Uline says its phenolic pulp/vinyl cap is not airtight and can't be induction sealed. Fine for samples.</t>
  </si>
  <si>
    <t xml:space="preserve">S-24532</t>
  </si>
  <si>
    <t xml:space="preserve">Black phenolic, pulp/vinyl liner (included)</t>
  </si>
  <si>
    <t xml:space="preserve">Indexed web price (uline.ca)</t>
  </si>
  <si>
    <t xml:space="preserve">New A – 60ct ✗ (8 oz looks &lt; half if size 0)</t>
  </si>
  <si>
    <t xml:space="preserve">S-24533</t>
  </si>
  <si>
    <t xml:space="preserve">FAILS half-full rule for 60ct at size 0</t>
  </si>
  <si>
    <t xml:space="preserve">Indexed web price. 90x00 tight in 8 oz – test.</t>
  </si>
  <si>
    <t xml:space="preserve">Amber Straight-Sided Jars – MATTE / FROSTED finish: Top 3 single-source options, all 6,000 jars</t>
  </si>
  <si>
    <t xml:space="preserve">No North American distributor stocks frosted amber straight-sided jars in 4 + 6 + 9 oz. The designer's Bottle Depot jar is frosted only up to 4 oz. So frosted means China direct, or plain amber jars frosted by a decorator.</t>
  </si>
  <si>
    <t xml:space="preserve">#1  CHINA DIRECT FACTORY  –  frosted amber 120 ml / 180–190 ml / 250–270 ml</t>
  </si>
  <si>
    <t xml:space="preserve">Lowest cost by far, with a true acid-etched/sandblasted frost (more durable than spray). No surtax. 10–13 weeks including sampling, so it can't serve the urgent launch. Xuzhou Das lists frosted amber 2/4/8 oz at MOQ 2,000; a 180–190 ml frosted size needs RFQ confirmation.</t>
  </si>
  <si>
    <t xml:space="preserve">frosted (acid-etch/sandblast) amber SS jar – Xuzhou Das / Yanjia</t>
  </si>
  <si>
    <t xml:space="preserve">frosted (acid-etch/sandblast) amber SS jar – Heshun 6 oz 63-400 / 180 ml sellers</t>
  </si>
  <si>
    <t xml:space="preserve">frosted (acid-etch/sandblast) amber SS jar – Xuzhou Huiju 8/9 oz 70-400</t>
  </si>
  <si>
    <t xml:space="preserve">#2  BURCH plain amber (4/6/9 oz)  +  SPRAY-FROSTED by a Canadian decorator (e.g. Stanpac Ink, Ontario)</t>
  </si>
  <si>
    <t xml:space="preserve">Best North American route: real 6 oz, stock jars, ~3–6 weeks. Jar and cap prices as Regular #1. Frosting is a CAD estimate (quote required). Spray frost is a lacquer, so test for scuffing.</t>
  </si>
  <si>
    <t xml:space="preserve">Jar/cap: indexed web price. Frosting: ESTIMATE – quote required</t>
  </si>
  <si>
    <t xml:space="preserve">Calc: US freight × FX + brokerage + frost setup × SKUs + decorator freight (Inputs)</t>
  </si>
  <si>
    <t xml:space="preserve">#3  FILLMORE plain amber (4/6/9 oz)  +  SPRAY-FROSTED by a Canadian decorator</t>
  </si>
  <si>
    <t xml:space="preserve">Same route as #2 using Fillmore jars. Slightly dearer, but Fillmore explicitly ships to Canada.</t>
  </si>
  <si>
    <t xml:space="preserve">REFERENCE (fails the half-full rule for the 60ct):  LIQUID BOTTLES (Florida, US) – stock frosted amber  –  4 oz / 9 oz</t>
  </si>
  <si>
    <t xml:space="preserve">The only North American stock line with frosted amber 4 oz + 9 oz (58-400 / 70-400). No 6 oz, so it can't do the 60ct. Its 9 oz is an option for the 90ct in a split order. Stock is unreliable ('call for availability').</t>
  </si>
  <si>
    <t xml:space="preserve">GJ402-F (frosted)</t>
  </si>
  <si>
    <t xml:space="preserve">58-400 black PP, F217 liner</t>
  </si>
  <si>
    <t xml:space="preserve">Indexed web price – call to confirm stock + pallet pricing</t>
  </si>
  <si>
    <t xml:space="preserve">GJ908-H (frosted amber)</t>
  </si>
  <si>
    <t xml:space="preserve">Split sourcing: buy one launch SKU locally now, the other two from China (~3 months)?</t>
  </si>
  <si>
    <t xml:space="preserve">Plan A = all 6,000 locally. Plan B1 = 60ct jars local + Balance &amp; 90ct from China. Plan B2 = 90ct jars local + Balance &amp; 60ct from China. Plan C = all from China (reference: too slow for the urgent launch). Each line links to the Top 3 sheets for prices and to Inputs for freight.</t>
  </si>
  <si>
    <t xml:space="preserve">SCENARIO COMPARISON  (lowest total in each finish highlighted green)</t>
  </si>
  <si>
    <t xml:space="preserve">Total (CAD) – jars NOT US-made</t>
  </si>
  <si>
    <t xml:space="preserve">vs Plan A</t>
  </si>
  <si>
    <t xml:space="preserve">Total (CAD) – IF US jars are US-made (50% surtax)</t>
  </si>
  <si>
    <t xml:space="preserve">vs Plan A (surtax)</t>
  </si>
  <si>
    <t xml:space="preserve">Avg CAD/unit (no surtax)</t>
  </si>
  <si>
    <t xml:space="preserve">Meets launch timing?</t>
  </si>
  <si>
    <t xml:space="preserve">Regular – all local (Burch)</t>
  </si>
  <si>
    <t xml:space="preserve">Yes</t>
  </si>
  <si>
    <t xml:space="preserve">Regular – 60ct local, rest China</t>
  </si>
  <si>
    <t xml:space="preserve">Regular – 90ct local (Burch), rest China</t>
  </si>
  <si>
    <t xml:space="preserve">Regular – 90ct local (Richards, Canada), rest China</t>
  </si>
  <si>
    <t xml:space="preserve">R-C</t>
  </si>
  <si>
    <t xml:space="preserve">Regular – all China (reference)</t>
  </si>
  <si>
    <t xml:space="preserve">No – ~3 months</t>
  </si>
  <si>
    <t xml:space="preserve">Frosted – all local (Burch + spray frost)</t>
  </si>
  <si>
    <t xml:space="preserve">Frosted – 60ct local, rest China</t>
  </si>
  <si>
    <t xml:space="preserve">Frosted – 90ct local (Burch + spray frost), rest China</t>
  </si>
  <si>
    <t xml:space="preserve">Frosted – 90ct local (Liquid Bottles stock), rest China</t>
  </si>
  <si>
    <t xml:space="preserve">Yes, if in stock</t>
  </si>
  <si>
    <t xml:space="preserve">F-C</t>
  </si>
  <si>
    <t xml:space="preserve">Frosted – all China (reference)</t>
  </si>
  <si>
    <t xml:space="preserve">How to read this</t>
  </si>
  <si>
    <t xml:space="preserve">• 'vs Plan A' is negative when the plan is cheaper than buying everything locally.</t>
  </si>
  <si>
    <t xml:space="preserve">• At ~2,000 jars per size, China's fixed costs (LCL freight, brokerage, samples, QC) are ~CAD 0.50/jar. That cancels most of China's cheaper glass for REGULAR jars, but not for FROSTED, where local spray-frosting is expensive.</t>
  </si>
  <si>
    <t xml:space="preserve">• The surtax columns only matter if the US distributor's jars were made in the USA. Richards (Canada; China-made) and China-direct jars are not affected.</t>
  </si>
  <si>
    <t xml:space="preserve">• Look consistency: in a split, the first-launch SKU's jar comes from a different maker (and for frosted, sprayed vs etched frost). You can switch it to the China jar at its first reorder.</t>
  </si>
  <si>
    <t xml:space="preserve">REGULAR (glossy) amber – scenario detail</t>
  </si>
  <si>
    <t xml:space="preserve">R-A  –  All 6,000 local: Burch 4/6/9 oz</t>
  </si>
  <si>
    <t xml:space="preserve">Source</t>
  </si>
  <si>
    <t xml:space="preserve">Ships from</t>
  </si>
  <si>
    <t xml:space="preserve">Jar + cap price (native)</t>
  </si>
  <si>
    <t xml:space="preserve">FX</t>
  </si>
  <si>
    <t xml:space="preserve">Goods (CAD/unit)</t>
  </si>
  <si>
    <t xml:space="preserve">Frosting (CAD/unit)</t>
  </si>
  <si>
    <t xml:space="preserve">Freight &amp; one-time (CAD/unit)</t>
  </si>
  <si>
    <t xml:space="preserve">50% surtax if US-made (CAD/unit)</t>
  </si>
  <si>
    <t xml:space="preserve">LANDED if US-made</t>
  </si>
  <si>
    <t xml:space="preserve">Balance – 30ct</t>
  </si>
  <si>
    <t xml:space="preserve">Burch (local)</t>
  </si>
  <si>
    <t xml:space="preserve">US</t>
  </si>
  <si>
    <t xml:space="preserve">New A – 60ct</t>
  </si>
  <si>
    <t xml:space="preserve">New B – 90ct</t>
  </si>
  <si>
    <t xml:space="preserve">TOTAL / average</t>
  </si>
  <si>
    <t xml:space="preserve">R-B1  –  60ct local (Burch 6 oz) · Balance + 90ct from China</t>
  </si>
  <si>
    <t xml:space="preserve">China direct</t>
  </si>
  <si>
    <t xml:space="preserve">China</t>
  </si>
  <si>
    <t xml:space="preserve">Burch (local, 1 pallet)</t>
  </si>
  <si>
    <t xml:space="preserve">R-B2  –  90ct local (Burch 9 oz) · Balance + 60ct from China</t>
  </si>
  <si>
    <t xml:space="preserve">R-B2c  –  90ct local (Richards 9 oz, Canadian stock) · Balance + 60ct from China</t>
  </si>
  <si>
    <t xml:space="preserve">Richards (Canada, 1 pallet)</t>
  </si>
  <si>
    <t xml:space="preserve">Canada</t>
  </si>
  <si>
    <t xml:space="preserve">R-C  –  All 6,000 from China (reference – too slow for the urgent launch)</t>
  </si>
  <si>
    <t xml:space="preserve">FROSTED amber – scenario detail</t>
  </si>
  <si>
    <t xml:space="preserve">F-A  –  All 6,000 local: Burch 4/6/9 oz + Canadian spray-frost</t>
  </si>
  <si>
    <t xml:space="preserve">Burch + spray frost</t>
  </si>
  <si>
    <t xml:space="preserve">F-B1  –  60ct local (Burch 6 oz + spray frost) · Balance + 90ct frosted from China</t>
  </si>
  <si>
    <t xml:space="preserve">China direct (frosted)</t>
  </si>
  <si>
    <t xml:space="preserve">Burch + spray frost (1 pallet)</t>
  </si>
  <si>
    <t xml:space="preserve">F-B2  –  90ct local (Burch 9 oz + spray frost) · Balance + 60ct frosted from China</t>
  </si>
  <si>
    <t xml:space="preserve">F-B2s  –  90ct local (Liquid Bottles 9 oz stock frosted) · Balance + 60ct frosted from China</t>
  </si>
  <si>
    <t xml:space="preserve">Liquid Bottles frosted (1 pallet)</t>
  </si>
  <si>
    <t xml:space="preserve">F-C  –  All 6,000 frosted from China (reference – too slow for the urgent launch)</t>
  </si>
  <si>
    <t xml:space="preserve">Every supplier screened – raw findings</t>
  </si>
  <si>
    <t xml:space="preserve">Prices as indexed (native currency). 'Meets rules' = has a jar for each SKU that fits AND looks at least half full (needs ~4, ~6 and ~9 oz).</t>
  </si>
  <si>
    <t xml:space="preserve">Finish</t>
  </si>
  <si>
    <t xml:space="preserve">Supplier</t>
  </si>
  <si>
    <t xml:space="preserve">Location / ships from</t>
  </si>
  <si>
    <t xml:space="preserve">Amber straight-sided sizes offered</t>
  </si>
  <si>
    <t xml:space="preserve">Has ~6 oz?</t>
  </si>
  <si>
    <t xml:space="preserve">Meets rules?</t>
  </si>
  <si>
    <t xml:space="preserve">Indicative jar price (native)</t>
  </si>
  <si>
    <t xml:space="preserve">Caps</t>
  </si>
  <si>
    <t xml:space="preserve">Verdict</t>
  </si>
  <si>
    <t xml:space="preserve">Source URL</t>
  </si>
  <si>
    <t xml:space="preserve">Regular</t>
  </si>
  <si>
    <t xml:space="preserve">Burch Bottle &amp; Packaging</t>
  </si>
  <si>
    <t xml:space="preserve">NY, USA (USD). Origin unknown – surtax risk</t>
  </si>
  <si>
    <t xml:space="preserve">4 (58-400), 6 (63-400), 9 (70-400), 16 oz</t>
  </si>
  <si>
    <t xml:space="preserve">4oz $0.48 · 6oz $0.51 · 9oz $0.44 at ~2K</t>
  </si>
  <si>
    <t xml:space="preserve">Black PP F217 $0.11–0.15; PS22 TE option (70-400)</t>
  </si>
  <si>
    <t xml:space="preserve">TOP 3 – #1 (local)</t>
  </si>
  <si>
    <t xml:space="preserve">https://www.burchbottle.com/6oz-Amber-Straight-Sided-Jar-63-400</t>
  </si>
  <si>
    <t xml:space="preserve">Fillmore Container</t>
  </si>
  <si>
    <t xml:space="preserve">PA, USA (USD); ships to Canada. Origin unknown</t>
  </si>
  <si>
    <t xml:space="preserve">4, 6, 9, 16 oz</t>
  </si>
  <si>
    <t xml:space="preserve">4oz $0.51 · 6oz $0.62 · 9oz $0.47</t>
  </si>
  <si>
    <t xml:space="preserve">Black PP F217 $0.11–0.22</t>
  </si>
  <si>
    <t xml:space="preserve">TOP 3 – #2</t>
  </si>
  <si>
    <t xml:space="preserve">https://www.fillmorecontainer.com/6-oz-amber-straight-sided-jar-case-of-12.html</t>
  </si>
  <si>
    <t xml:space="preserve">China direct – Xuzhou Das / Xuzhou Yanjia / Heshun / Xuzhou Huiju</t>
  </si>
  <si>
    <t xml:space="preserve">China (USD FOB)</t>
  </si>
  <si>
    <t xml:space="preserve">120 ml, 180 ml / 6 oz 63-400 (Heshun), 8–9 oz 70-400 (Huiju)</t>
  </si>
  <si>
    <t xml:space="preserve">Yes (Heshun, 180 ml sellers)</t>
  </si>
  <si>
    <t xml:space="preserve">Yes (via RFQ)</t>
  </si>
  <si>
    <t xml:space="preserve">US$0.30–0.55 with basic cap; MOQ 100–3,000</t>
  </si>
  <si>
    <t xml:space="preserve">58-400 PP w/ induction/PS liner US$0.05–0.06</t>
  </si>
  <si>
    <t xml:space="preserve">TOP 3 – #3 / split plan</t>
  </si>
  <si>
    <t xml:space="preserve">https://xuzhouglass.en.made-in-china.com/product/kTgYypxAIMWG/China-2oz-4oz-8oz-Amber-Glass-Jar-with-Straight-Sided-and-Black-PP-Cap.html</t>
  </si>
  <si>
    <t xml:space="preserve">Containers &amp; Packaging Supply</t>
  </si>
  <si>
    <t xml:space="preserve">ID, USA (USD)</t>
  </si>
  <si>
    <t xml:space="preserve">4 (G850AM), 6 (G506AM), 9 (G842AM), 16 oz</t>
  </si>
  <si>
    <t xml:space="preserve">Quote required</t>
  </si>
  <si>
    <t xml:space="preserve">Not verified</t>
  </si>
  <si>
    <t xml:space="preserve">Alternate – get a quote</t>
  </si>
  <si>
    <t xml:space="preserve">https://www.containerandpackaging.com/products/glass-straight-sided-jar/g506am/</t>
  </si>
  <si>
    <t xml:space="preserve">Richards Packaging</t>
  </si>
  <si>
    <t xml:space="preserve">Canada (CAD); 4 oz made in China</t>
  </si>
  <si>
    <t xml:space="preserve">4 oz, 9 oz</t>
  </si>
  <si>
    <t xml:space="preserve">No</t>
  </si>
  <si>
    <t xml:space="preserve">No (60ct) – 9 oz good for 90ct</t>
  </si>
  <si>
    <t xml:space="preserve">4oz $0.96 · 9oz $0.99 CAD</t>
  </si>
  <si>
    <t xml:space="preserve">Quote/login required</t>
  </si>
  <si>
    <t xml:space="preserve">Use for 90ct in split plan</t>
  </si>
  <si>
    <t xml:space="preserve">https://richardspackaging.com/products/9-oz-amber-glass-straight-sided-jar-70-400-12-rp-1001a</t>
  </si>
  <si>
    <t xml:space="preserve">Uline Canada</t>
  </si>
  <si>
    <t xml:space="preserve">Canada (CAD)</t>
  </si>
  <si>
    <t xml:space="preserve">1, 2, 4, 8 oz</t>
  </si>
  <si>
    <t xml:space="preserve">4oz $1.67 · 8oz $2.35 CAD incl. phenolic cap</t>
  </si>
  <si>
    <t xml:space="preserve">Phenolic pulp/vinyl – not airtight, no induction</t>
  </si>
  <si>
    <t xml:space="preserve">Reference only – ~2x cost</t>
  </si>
  <si>
    <t xml:space="preserve">https://www.uline.ca/Product/Detail/S-24532/Jars/Amber-Straight-Sided-Glass-Jars-4-oz-Phenolic-Cap</t>
  </si>
  <si>
    <t xml:space="preserve">SKS Bottle &amp; Packaging</t>
  </si>
  <si>
    <t xml:space="preserve">NY, USA (USD)</t>
  </si>
  <si>
    <t xml:space="preserve">4, 8 oz</t>
  </si>
  <si>
    <t xml:space="preserve">4oz $0.49 · 8oz $0.88 (jar only)</t>
  </si>
  <si>
    <t xml:space="preserve">Induction-lined caps available (63/70 mm)</t>
  </si>
  <si>
    <t xml:space="preserve">Not shortlisted</t>
  </si>
  <si>
    <t xml:space="preserve">https://www.sks-bottle.com/product/305037.html</t>
  </si>
  <si>
    <t xml:space="preserve">Specialty Bottle</t>
  </si>
  <si>
    <t xml:space="preserve">WA, USA (USD)</t>
  </si>
  <si>
    <t xml:space="preserve">4, 9 oz</t>
  </si>
  <si>
    <t xml:space="preserve">4oz $0.80 at 1K–5K incl. lid; 9oz $1.06</t>
  </si>
  <si>
    <t xml:space="preserve">Lid included</t>
  </si>
  <si>
    <t xml:space="preserve">https://www.specialtybottle.com/glass-jars/amber-straight-sided/4oz-salv4a</t>
  </si>
  <si>
    <t xml:space="preserve">The Bottle Depot</t>
  </si>
  <si>
    <t xml:space="preserve">USA (USD)</t>
  </si>
  <si>
    <t xml:space="preserve">4 (58-400), 6 (54-410), 8 (71-410)</t>
  </si>
  <si>
    <t xml:space="preserve">Yes (odd neck)</t>
  </si>
  <si>
    <t xml:space="preserve">Partly – mismatched necks</t>
  </si>
  <si>
    <t xml:space="preserve">4oz $0.62 · 6oz $0.66 · 8oz $0.98</t>
  </si>
  <si>
    <t xml:space="preserve">Separate, $0.26</t>
  </si>
  <si>
    <t xml:space="preserve">https://thebottledepot.co/collections/amber-glass-jars</t>
  </si>
  <si>
    <t xml:space="preserve">Berlin Packaging</t>
  </si>
  <si>
    <t xml:space="preserve">USA; Canada via United Bottles (QC)</t>
  </si>
  <si>
    <t xml:space="preserve">~$0.55 (4 oz), some out of stock</t>
  </si>
  <si>
    <t xml:space="preserve">Separate</t>
  </si>
  <si>
    <t xml:space="preserve">https://www.berlinpackaging.com/5001b55-b-4-oz-amber-glass-straight-sided-squat-jars-cap-not-included/</t>
  </si>
  <si>
    <t xml:space="preserve">O.Berk</t>
  </si>
  <si>
    <t xml:space="preserve">USA</t>
  </si>
  <si>
    <t xml:space="preserve">2, 4, 8, 16, 32 oz</t>
  </si>
  <si>
    <t xml:space="preserve">—</t>
  </si>
  <si>
    <t xml:space="preserve">https://www.oberk.com/product-spotlight/amber-straight-side-jars</t>
  </si>
  <si>
    <t xml:space="preserve">Qorpak</t>
  </si>
  <si>
    <t xml:space="preserve">4, 8 oz (lab grade)</t>
  </si>
  <si>
    <t xml:space="preserve">4oz $1.54 jar only</t>
  </si>
  <si>
    <t xml:space="preserve">https://shop.qorpak.com/products/260300/4-oz-amber-gl-ty-iii-straight-sided-jars-58-400-24-cs-260300/</t>
  </si>
  <si>
    <t xml:space="preserve">Voyageur Soap &amp; Candle</t>
  </si>
  <si>
    <t xml:space="preserve">BC, Canada (CAD)</t>
  </si>
  <si>
    <t xml:space="preserve">4oz ~$1.77 · 8oz ~$1.71–1.95 retail</t>
  </si>
  <si>
    <t xml:space="preserve">https://www.voyageursoapandcandle.com/collections/glass-jars</t>
  </si>
  <si>
    <t xml:space="preserve">Bottlestore</t>
  </si>
  <si>
    <t xml:space="preserve">4 (58-405), 8 oz (70-405)</t>
  </si>
  <si>
    <t xml:space="preserve">4oz $0.64 · 8oz $0.46 (24-pk)</t>
  </si>
  <si>
    <t xml:space="preserve">Metal cap w/ heat-seal liner $0.37</t>
  </si>
  <si>
    <t xml:space="preserve">https://www.bottlestore.com/8oz-amber-glass-straight-sided-jar-70-405-neck-finish-24-pack.html</t>
  </si>
  <si>
    <t xml:space="preserve">VANJOIN Group</t>
  </si>
  <si>
    <t xml:space="preserve">China (USD)</t>
  </si>
  <si>
    <t xml:space="preserve">120/150/180/250 ml supplement jars (probably packer-style – verify)</t>
  </si>
  <si>
    <t xml:space="preserve">Yes (180 ml)</t>
  </si>
  <si>
    <t xml:space="preserve">Verify shape</t>
  </si>
  <si>
    <t xml:space="preserve">US$0.35 at 5K+; MOQ ~5,000</t>
  </si>
  <si>
    <t xml:space="preserve">Screw cap</t>
  </si>
  <si>
    <t xml:space="preserve">RFQ candidate</t>
  </si>
  <si>
    <t xml:space="preserve">https://www.alibaba.com/product-detail/120ml-150ml-180ml-250ml-Health-Dietary_1601702419322.html</t>
  </si>
  <si>
    <t xml:space="preserve">Frosted</t>
  </si>
  <si>
    <t xml:space="preserve">China direct – Xuzhou Das Packing (frosted)</t>
  </si>
  <si>
    <t xml:space="preserve">Frosted amber 2/4/8 oz (60/120/250 g)</t>
  </si>
  <si>
    <t xml:space="preserve">No (RFQ for 180–190 ml)</t>
  </si>
  <si>
    <t xml:space="preserve">Via RFQ</t>
  </si>
  <si>
    <t xml:space="preserve">US$0.41 at 2,000–29,999 (MOQ 2,000)</t>
  </si>
  <si>
    <t xml:space="preserve">'With lids' – specify black PP + glass-rated liner</t>
  </si>
  <si>
    <t xml:space="preserve">TOP 3 – #1 / split plan</t>
  </si>
  <si>
    <t xml:space="preserve">https://daspacking.en.made-in-china.com/product/CdRGEuVYJmpN/China-Wholesale-2oz-4oz-8oz-60g-120g-250g-Frosted-Clear-Amber-Airtight-Straight-Sided-Round-Face-Cosmetic-Cream-Candle-Glass-Jar-and-Container-with-Lids.html</t>
  </si>
  <si>
    <t xml:space="preserve">Burch + Canadian spray-frost decorator (Stanpac Ink)</t>
  </si>
  <si>
    <t xml:space="preserve">US jars → Ontario decorator</t>
  </si>
  <si>
    <t xml:space="preserve">4 / 6 / 9 oz</t>
  </si>
  <si>
    <t xml:space="preserve">Jar as Regular #1 + est. CAD 0.30–0.60 frost</t>
  </si>
  <si>
    <t xml:space="preserve">As Regular #1</t>
  </si>
  <si>
    <t xml:space="preserve">https://www.stanpacnet.com/glass-container-printing/</t>
  </si>
  <si>
    <t xml:space="preserve">Fillmore + Canadian spray-frost decorator</t>
  </si>
  <si>
    <t xml:space="preserve">Jar as Regular #2 + est. frost</t>
  </si>
  <si>
    <t xml:space="preserve">As Regular #2</t>
  </si>
  <si>
    <t xml:space="preserve">TOP 3 – #3</t>
  </si>
  <si>
    <t xml:space="preserve">https://www.fillmorecontainer.com/faqs/</t>
  </si>
  <si>
    <t xml:space="preserve">Liquid Bottles</t>
  </si>
  <si>
    <t xml:space="preserve">FL, USA (USD)</t>
  </si>
  <si>
    <t xml:space="preserve">4 oz (GJ402-F), 9 oz (GJ908-H) frosted amber</t>
  </si>
  <si>
    <t xml:space="preserve">No (60ct) – 9 oz OK for 90ct</t>
  </si>
  <si>
    <t xml:space="preserve">4oz $0.75 · 9oz $1.42–1.57</t>
  </si>
  <si>
    <t xml:space="preserve">90ct option in split plan (stock risk)</t>
  </si>
  <si>
    <t xml:space="preserve">https://www.liquidbottles.com/products/3311/9oz-Frosted-Amber-Glass-Jar-70-400-60cs</t>
  </si>
  <si>
    <t xml:space="preserve">Jiangxi Forever Packaging</t>
  </si>
  <si>
    <t xml:space="preserve">Frosted amber 4/7/8 oz (shape 'round' – verify)</t>
  </si>
  <si>
    <t xml:space="preserve">7 oz (too big for 60ct)</t>
  </si>
  <si>
    <t xml:space="preserve">Verify</t>
  </si>
  <si>
    <t xml:space="preserve">US$0.09–1.09</t>
  </si>
  <si>
    <t xml:space="preserve">Secondary RFQ</t>
  </si>
  <si>
    <t xml:space="preserve">https://jx-forever.en.made-in-china.com/product/kxBpcQfVviWg/China-Wholesale-4oz-7oz-8oz-Luxury-Clear-Amber-Frosted-Glass-Cosmetic-Jar.html</t>
  </si>
  <si>
    <t xml:space="preserve">Berlin Packaging / O.Berk – custom acid-etch or spray program</t>
  </si>
  <si>
    <t xml:space="preserve">USA; Berlin invoices CAD via United Bottles</t>
  </si>
  <si>
    <t xml:space="preserve">Any stock jar, decorated</t>
  </si>
  <si>
    <t xml:space="preserve">Quote required (est. CAD 1.80–2.75+)</t>
  </si>
  <si>
    <t xml:space="preserve">Turnkey alternative – quote</t>
  </si>
  <si>
    <t xml:space="preserve">https://www.berlinpackaging.com/custom-decorating-services</t>
  </si>
  <si>
    <t xml:space="preserve">The Bottle Depot (designer's link)</t>
  </si>
  <si>
    <t xml:space="preserve">Frosted amber only 0.5–4 oz</t>
  </si>
  <si>
    <t xml:space="preserve">No (plain only)</t>
  </si>
  <si>
    <t xml:space="preserve">4oz frosted $0.75–1.00</t>
  </si>
  <si>
    <t xml:space="preserve">$0.26 PE liner</t>
  </si>
  <si>
    <t xml:space="preserve">FAILS – frosted only up to 4 oz</t>
  </si>
  <si>
    <t xml:space="preserve">https://thebottledepot.co/collections/frosted-glass-jars</t>
  </si>
  <si>
    <t xml:space="preserve">NY, USA</t>
  </si>
  <si>
    <t xml:space="preserve">Frosted 2/4/8 oz – CLEAR, not amber</t>
  </si>
  <si>
    <t xml:space="preserve">4oz $1.41–2.79 · 8oz $2.30</t>
  </si>
  <si>
    <t xml:space="preserve">Induction caps available</t>
  </si>
  <si>
    <t xml:space="preserve">FAILS – not amber</t>
  </si>
  <si>
    <t xml:space="preserve">https://www.sks-bottle.com/product/10768.html</t>
  </si>
  <si>
    <t xml:space="preserve">Uline, Richards, Containers &amp; Pkg, Specialty Bottle, TricorBraun</t>
  </si>
  <si>
    <t xml:space="preserve">Plain amber only</t>
  </si>
  <si>
    <t xml:space="preserve">FAILS – no frosted amber</t>
  </si>
  <si>
    <t xml:space="preserve">Next steps before ordering</t>
  </si>
  <si>
    <t xml:space="preserve">#</t>
  </si>
  <si>
    <t xml:space="preserve">Who</t>
  </si>
  <si>
    <t xml:space="preserve">Action</t>
  </si>
  <si>
    <t xml:space="preserve">1</t>
  </si>
  <si>
    <t xml:space="preserve">Owner (manufacturer)</t>
  </si>
  <si>
    <t xml:space="preserve">Confirm with your manufacturer: (a) Will they fill jars you supply? (b) Can their line handle straight-sided jars in 4 / 6 / 9 oz? (c) How do they tamper-seal glass today: induction, PS liner or shrink band? Then get their bottle + lid cost into Inputs.</t>
  </si>
  <si>
    <t xml:space="preserve">2</t>
  </si>
  <si>
    <t xml:space="preserve">Procurement</t>
  </si>
  <si>
    <t xml:space="preserve">Ask Burch, Fillmore, Richards and Liquid Bottles for the COUNTRY OF ORIGIN of each jar. US-made jars may carry the 50% surtax.</t>
  </si>
  <si>
    <t xml:space="preserve">3</t>
  </si>
  <si>
    <t xml:space="preserve">Owner + broker</t>
  </si>
  <si>
    <t xml:space="preserve">Ask a customs broker to confirm: (a) does the US Surtax Order (2026) cover these jars (tariff item 7010.90)? (b) MFN duty is Free for China-made jars?</t>
  </si>
  <si>
    <t xml:space="preserve">4</t>
  </si>
  <si>
    <t xml:space="preserve">China RFQ to Xuzhou Das, Xuzhou Yanjia, Xuzhou Huiju, Heshun Glass and VANJOIN. Ask for 2,000 each of 120 ml and 180–190 ml (and 250–270 ml as an alternate), regular AND frosted. Ask for: 58/63/70-400 necks; black PP caps with a glass-rated induction or PS22 liner; brim-full capacity; food-contact certificate; FOB price; sample cost; lead time; carton dimensions/weight.</t>
  </si>
  <si>
    <t xml:space="preserve">5</t>
  </si>
  <si>
    <t xml:space="preserve">Freight quotes: two Canadian forwarders for China LCL door-to-door (~2.5 m³, ~800 kg) to your postal code, itemized with minimums. One-pallet LTL quotes from Burch and Richards.</t>
  </si>
  <si>
    <t xml:space="preserve">6</t>
  </si>
  <si>
    <t xml:space="preserve">Local quotes for the first-launch SKU: Burch 9 oz + 70-400 caps delivered; Richards 9 oz + caps in CAD at 2,000. For frosted, spray-frost quote from Stanpac Ink (1 SKU, 2,000 jars).</t>
  </si>
  <si>
    <t xml:space="preserve">7</t>
  </si>
  <si>
    <t xml:space="preserve">Owner + designer</t>
  </si>
  <si>
    <t xml:space="preserve">Order samples (4 / 6 / 9 oz). Do a capsule pour test, including Balance's 30 capsules in the 4 oz, to confirm the half-full look. Compare regular vs frosted in hand.</t>
  </si>
  <si>
    <t xml:space="preserve">8</t>
  </si>
  <si>
    <t xml:space="preserve">Owner</t>
  </si>
  <si>
    <t xml:space="preserve">Decide: regular or frosted, and all-local or split. Use the Split Plan sheet once real quotes are entered on Inputs.</t>
  </si>
  <si>
    <t xml:space="preserve">Data caveats</t>
  </si>
  <si>
    <t xml:space="preserve">• The research environment could not open supplier websites directly (network policy). Prices come from search-engine copies of the product pages and some may be stale. Treat every price as 'to verify' until quoted.</t>
  </si>
  <si>
    <t xml:space="preserve">• Freight, brokerage, frosting and China prices are estimates (labelled on the Inputs sheet). Replace them with real quotes and the whole workbook recalculates.</t>
  </si>
  <si>
    <t xml:space="preserve">• The 50% surtax on US-made glass containers is reported by several law firms and trade sources but the exact tariff item is not yet confirmed. Confirm with a broker.</t>
  </si>
  <si>
    <t xml:space="preserve">• Jar volumes are nominal. Capsule fit and 'looks half full' are modelled (see Capsule Sizing) and must be confirmed with a fill test.</t>
  </si>
</sst>
</file>

<file path=xl/styles.xml><?xml version="1.0" encoding="utf-8"?>
<styleSheet xmlns="http://schemas.openxmlformats.org/spreadsheetml/2006/main">
  <numFmts count="10">
    <numFmt numFmtId="164" formatCode="General"/>
    <numFmt numFmtId="165" formatCode="\$#,##0.00;&quot;($&quot;#,##0.00\);\-"/>
    <numFmt numFmtId="166" formatCode="\$#,##0;&quot;($&quot;#,##0\);\-"/>
    <numFmt numFmtId="167" formatCode="#,##0"/>
    <numFmt numFmtId="168" formatCode="0"/>
    <numFmt numFmtId="169" formatCode="0.00"/>
    <numFmt numFmtId="170" formatCode="0%"/>
    <numFmt numFmtId="171" formatCode="0.0"/>
    <numFmt numFmtId="172" formatCode="0.000"/>
    <numFmt numFmtId="173" formatCode="#,##0.00"/>
  </numFmts>
  <fonts count="14">
    <font>
      <sz val="11"/>
      <color theme="1"/>
      <name val="Calibri"/>
      <family val="2"/>
      <charset val="1"/>
    </font>
    <font>
      <sz val="10"/>
      <name val="Arial"/>
      <family val="0"/>
    </font>
    <font>
      <sz val="10"/>
      <name val="Arial"/>
      <family val="0"/>
    </font>
    <font>
      <sz val="10"/>
      <name val="Arial"/>
      <family val="0"/>
    </font>
    <font>
      <b val="true"/>
      <sz val="14"/>
      <color rgb="FF5A3E1B"/>
      <name val="Arial"/>
      <family val="0"/>
      <charset val="1"/>
    </font>
    <font>
      <i val="true"/>
      <sz val="9"/>
      <color rgb="FF666666"/>
      <name val="Arial"/>
      <family val="0"/>
      <charset val="1"/>
    </font>
    <font>
      <b val="true"/>
      <sz val="10"/>
      <color rgb="FFC00000"/>
      <name val="Arial"/>
      <family val="0"/>
      <charset val="1"/>
    </font>
    <font>
      <b val="true"/>
      <sz val="10"/>
      <name val="Arial"/>
      <family val="0"/>
      <charset val="1"/>
    </font>
    <font>
      <sz val="10"/>
      <color rgb="FF008000"/>
      <name val="Arial"/>
      <family val="0"/>
      <charset val="1"/>
    </font>
    <font>
      <b val="true"/>
      <sz val="11"/>
      <color rgb="FFFFFFFF"/>
      <name val="Arial"/>
      <family val="0"/>
      <charset val="1"/>
    </font>
    <font>
      <b val="true"/>
      <sz val="10"/>
      <color rgb="FFFFFFFF"/>
      <name val="Arial"/>
      <family val="0"/>
      <charset val="1"/>
    </font>
    <font>
      <sz val="10"/>
      <name val="Arial"/>
      <family val="0"/>
      <charset val="1"/>
    </font>
    <font>
      <sz val="10"/>
      <color rgb="FF0000FF"/>
      <name val="Arial"/>
      <family val="0"/>
      <charset val="1"/>
    </font>
    <font>
      <sz val="10"/>
      <name val="Arial"/>
      <family val="2"/>
    </font>
  </fonts>
  <fills count="8">
    <fill>
      <patternFill patternType="none"/>
    </fill>
    <fill>
      <patternFill patternType="gray125"/>
    </fill>
    <fill>
      <patternFill patternType="solid">
        <fgColor rgb="FFFCE4D6"/>
        <bgColor rgb="FFF3E5D3"/>
      </patternFill>
    </fill>
    <fill>
      <patternFill patternType="solid">
        <fgColor rgb="FF7A4E1D"/>
        <bgColor rgb="FF5A3E1B"/>
      </patternFill>
    </fill>
    <fill>
      <patternFill patternType="solid">
        <fgColor rgb="FFA86B2D"/>
        <bgColor rgb="FF7A4E1D"/>
      </patternFill>
    </fill>
    <fill>
      <patternFill patternType="solid">
        <fgColor rgb="FFF3E5D3"/>
        <bgColor rgb="FFFCE4D6"/>
      </patternFill>
    </fill>
    <fill>
      <patternFill patternType="solid">
        <fgColor rgb="FFFFF2CC"/>
        <bgColor rgb="FFFCE4D6"/>
      </patternFill>
    </fill>
    <fill>
      <patternFill patternType="solid">
        <fgColor rgb="FFE2EFDA"/>
        <bgColor rgb="FFF3E5D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5" fontId="8" fillId="5"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7" fontId="12" fillId="6"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8" fontId="12" fillId="6" borderId="1" xfId="0" applyFont="true" applyBorder="true" applyAlignment="false" applyProtection="false">
      <alignment horizontal="general" vertical="bottom" textRotation="0" wrapText="false" indent="0" shrinkToFit="false"/>
      <protection locked="true" hidden="false"/>
    </xf>
    <xf numFmtId="169" fontId="12" fillId="6" borderId="1" xfId="0" applyFont="true" applyBorder="true" applyAlignment="false" applyProtection="false">
      <alignment horizontal="general" vertical="bottom" textRotation="0" wrapText="false" indent="0" shrinkToFit="false"/>
      <protection locked="true" hidden="false"/>
    </xf>
    <xf numFmtId="165" fontId="12" fillId="6"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2" fillId="6" borderId="1" xfId="0" applyFont="true" applyBorder="true" applyAlignment="false" applyProtection="false">
      <alignment horizontal="general" vertical="bottom" textRotation="0" wrapText="false" indent="0" shrinkToFit="false"/>
      <protection locked="true" hidden="false"/>
    </xf>
    <xf numFmtId="170" fontId="12" fillId="6"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71" fontId="12" fillId="6" borderId="1" xfId="0" applyFont="true" applyBorder="true" applyAlignment="false" applyProtection="false">
      <alignment horizontal="general" vertical="bottom" textRotation="0" wrapText="false" indent="0" shrinkToFit="false"/>
      <protection locked="true" hidden="false"/>
    </xf>
    <xf numFmtId="172"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6"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73" fontId="12" fillId="6" borderId="1" xfId="0" applyFont="true" applyBorder="true" applyAlignment="false" applyProtection="false">
      <alignment horizontal="general" vertical="bottom" textRotation="0" wrapText="false" indent="0" shrinkToFit="false"/>
      <protection locked="true" hidden="false"/>
    </xf>
    <xf numFmtId="172" fontId="12" fillId="6"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E2EFDA"/>
        </patternFill>
      </fill>
    </dxf>
    <dxf>
      <fill>
        <patternFill>
          <bgColor rgb="FFF8CBAD"/>
        </patternFill>
      </fill>
    </dxf>
    <dxf>
      <fill>
        <patternFill>
          <bgColor rgb="FFFFE69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A86B2D"/>
      <rgbColor rgb="FF800080"/>
      <rgbColor rgb="FF008080"/>
      <rgbColor rgb="FFBFBFBF"/>
      <rgbColor rgb="FF808080"/>
      <rgbColor rgb="FF9999FF"/>
      <rgbColor rgb="FF993366"/>
      <rgbColor rgb="FFFFF2CC"/>
      <rgbColor rgb="FFFCE4D6"/>
      <rgbColor rgb="FF660066"/>
      <rgbColor rgb="FFFF8080"/>
      <rgbColor rgb="FF0066CC"/>
      <rgbColor rgb="FFF3E5D3"/>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339966"/>
      <rgbColor rgb="FF003300"/>
      <rgbColor rgb="FF333300"/>
      <rgbColor rgb="FF7A4E1D"/>
      <rgbColor rgb="FF993366"/>
      <rgbColor rgb="FF333399"/>
      <rgbColor rgb="FF5A3E1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24"/>
    <col collapsed="false" customWidth="true" hidden="false" outlineLevel="0" max="4" min="4" style="0" width="13"/>
    <col collapsed="false" customWidth="true" hidden="false" outlineLevel="0" max="6" min="5" style="0" width="14"/>
    <col collapsed="false" customWidth="true" hidden="false" outlineLevel="0" max="7" min="7" style="0" width="16"/>
    <col collapsed="false" customWidth="true" hidden="false" outlineLevel="0" max="8" min="8" style="0" width="40"/>
    <col collapsed="false" customWidth="true" hidden="false" outlineLevel="0" max="9" min="9" style="0" width="46"/>
  </cols>
  <sheetData>
    <row r="1" customFormat="false" ht="17.35" hidden="false" customHeight="false" outlineLevel="0" collapsed="false">
      <c r="A1" s="1" t="s">
        <v>0</v>
      </c>
    </row>
    <row r="2" customFormat="false" ht="15" hidden="false" customHeight="false" outlineLevel="0" collapsed="false">
      <c r="A2" s="2" t="s">
        <v>1</v>
      </c>
    </row>
    <row r="3" customFormat="false" ht="31.5" hidden="false" customHeight="true" outlineLevel="0" collapsed="false">
      <c r="A3" s="3" t="s">
        <v>2</v>
      </c>
      <c r="B3" s="3"/>
      <c r="C3" s="3"/>
      <c r="D3" s="3"/>
      <c r="E3" s="3"/>
      <c r="F3" s="3"/>
      <c r="G3" s="3"/>
      <c r="H3" s="3"/>
      <c r="I3" s="3"/>
    </row>
    <row r="5" customFormat="false" ht="15" hidden="false" customHeight="false" outlineLevel="0" collapsed="false">
      <c r="A5" s="4" t="s">
        <v>3</v>
      </c>
      <c r="D5" s="5" t="n">
        <f aca="false">Inputs!$B$12</f>
        <v>3.44</v>
      </c>
      <c r="E5" s="2" t="s">
        <v>4</v>
      </c>
    </row>
    <row r="7" customFormat="false" ht="15" hidden="false" customHeight="false" outlineLevel="0" collapsed="false">
      <c r="A7" s="6" t="s">
        <v>5</v>
      </c>
      <c r="B7" s="6"/>
      <c r="C7" s="6"/>
      <c r="D7" s="6"/>
      <c r="E7" s="6"/>
      <c r="F7" s="6"/>
      <c r="G7" s="6"/>
      <c r="H7" s="6"/>
      <c r="I7" s="6"/>
    </row>
    <row r="8" customFormat="false" ht="30" hidden="false" customHeight="true" outlineLevel="0" collapsed="false">
      <c r="A8" s="7" t="s">
        <v>6</v>
      </c>
      <c r="B8" s="7" t="s">
        <v>7</v>
      </c>
      <c r="C8" s="7" t="s">
        <v>8</v>
      </c>
      <c r="D8" s="7" t="s">
        <v>9</v>
      </c>
      <c r="E8" s="7" t="s">
        <v>10</v>
      </c>
      <c r="F8" s="7" t="s">
        <v>11</v>
      </c>
      <c r="G8" s="7" t="s">
        <v>12</v>
      </c>
      <c r="H8" s="7" t="s">
        <v>13</v>
      </c>
      <c r="I8" s="7" t="s">
        <v>14</v>
      </c>
    </row>
    <row r="9" customFormat="false" ht="51.75" hidden="false" customHeight="true" outlineLevel="0" collapsed="false">
      <c r="A9" s="8" t="s">
        <v>15</v>
      </c>
      <c r="B9" s="8" t="s">
        <v>16</v>
      </c>
      <c r="C9" s="9" t="s">
        <v>17</v>
      </c>
      <c r="D9" s="10" t="n">
        <f aca="false">'Regular Finish – Top 3'!P10</f>
        <v>1.11600833333333</v>
      </c>
      <c r="E9" s="11" t="n">
        <f aca="false">'Regular Finish – Top 3'!S10</f>
        <v>1.5345125</v>
      </c>
      <c r="F9" s="12" t="n">
        <f aca="false">'Regular Finish – Top 3'!Q10</f>
        <v>6696.05</v>
      </c>
      <c r="G9" s="9" t="s">
        <v>18</v>
      </c>
      <c r="H9" s="9" t="s">
        <v>19</v>
      </c>
      <c r="I9" s="9" t="s">
        <v>20</v>
      </c>
    </row>
    <row r="10" customFormat="false" ht="51.75" hidden="false" customHeight="true" outlineLevel="0" collapsed="false">
      <c r="A10" s="8" t="s">
        <v>21</v>
      </c>
      <c r="B10" s="8" t="s">
        <v>22</v>
      </c>
      <c r="C10" s="9" t="s">
        <v>17</v>
      </c>
      <c r="D10" s="10" t="n">
        <f aca="false">'Regular Finish – Top 3'!P19</f>
        <v>1.23008833333333</v>
      </c>
      <c r="E10" s="11" t="n">
        <f aca="false">'Regular Finish – Top 3'!S19</f>
        <v>1.7056325</v>
      </c>
      <c r="F10" s="12" t="n">
        <f aca="false">'Regular Finish – Top 3'!Q19</f>
        <v>7380.53</v>
      </c>
      <c r="G10" s="9" t="s">
        <v>18</v>
      </c>
      <c r="H10" s="9" t="s">
        <v>23</v>
      </c>
      <c r="I10" s="9" t="s">
        <v>24</v>
      </c>
    </row>
    <row r="11" customFormat="false" ht="51.75" hidden="false" customHeight="true" outlineLevel="0" collapsed="false">
      <c r="A11" s="8" t="s">
        <v>25</v>
      </c>
      <c r="B11" s="8" t="s">
        <v>26</v>
      </c>
      <c r="C11" s="9" t="s">
        <v>27</v>
      </c>
      <c r="D11" s="10" t="n">
        <f aca="false">'Regular Finish – Top 3'!P28</f>
        <v>1.02973333333333</v>
      </c>
      <c r="E11" s="11" t="n">
        <f aca="false">'Regular Finish – Top 3'!S28</f>
        <v>1.02973333333333</v>
      </c>
      <c r="F11" s="12" t="n">
        <f aca="false">'Regular Finish – Top 3'!Q28</f>
        <v>6178.4</v>
      </c>
      <c r="G11" s="9" t="s">
        <v>28</v>
      </c>
      <c r="H11" s="9" t="s">
        <v>29</v>
      </c>
      <c r="I11" s="9" t="s">
        <v>30</v>
      </c>
    </row>
    <row r="13" customFormat="false" ht="15" hidden="false" customHeight="false" outlineLevel="0" collapsed="false">
      <c r="A13" s="6" t="s">
        <v>31</v>
      </c>
      <c r="B13" s="6"/>
      <c r="C13" s="6"/>
      <c r="D13" s="6"/>
      <c r="E13" s="6"/>
      <c r="F13" s="6"/>
      <c r="G13" s="6"/>
      <c r="H13" s="6"/>
      <c r="I13" s="6"/>
    </row>
    <row r="14" customFormat="false" ht="30" hidden="false" customHeight="true" outlineLevel="0" collapsed="false">
      <c r="A14" s="7" t="s">
        <v>6</v>
      </c>
      <c r="B14" s="7" t="s">
        <v>7</v>
      </c>
      <c r="C14" s="7" t="s">
        <v>8</v>
      </c>
      <c r="D14" s="7" t="s">
        <v>9</v>
      </c>
      <c r="E14" s="7" t="s">
        <v>10</v>
      </c>
      <c r="F14" s="7" t="s">
        <v>11</v>
      </c>
      <c r="G14" s="7" t="s">
        <v>12</v>
      </c>
      <c r="H14" s="7" t="s">
        <v>13</v>
      </c>
      <c r="I14" s="7" t="s">
        <v>14</v>
      </c>
    </row>
    <row r="15" customFormat="false" ht="51.75" hidden="false" customHeight="true" outlineLevel="0" collapsed="false">
      <c r="A15" s="8" t="s">
        <v>15</v>
      </c>
      <c r="B15" s="8" t="s">
        <v>32</v>
      </c>
      <c r="C15" s="9" t="s">
        <v>27</v>
      </c>
      <c r="D15" s="10" t="n">
        <f aca="false">'Frosted Finish – Top 3'!P10</f>
        <v>1.12173333333333</v>
      </c>
      <c r="E15" s="11" t="n">
        <f aca="false">'Frosted Finish – Top 3'!S10</f>
        <v>1.12173333333333</v>
      </c>
      <c r="F15" s="12" t="n">
        <f aca="false">'Frosted Finish – Top 3'!Q10</f>
        <v>6730.4</v>
      </c>
      <c r="G15" s="9" t="s">
        <v>28</v>
      </c>
      <c r="H15" s="9" t="s">
        <v>33</v>
      </c>
      <c r="I15" s="9" t="s">
        <v>34</v>
      </c>
    </row>
    <row r="16" customFormat="false" ht="51.75" hidden="false" customHeight="true" outlineLevel="0" collapsed="false">
      <c r="A16" s="8" t="s">
        <v>21</v>
      </c>
      <c r="B16" s="8" t="s">
        <v>35</v>
      </c>
      <c r="C16" s="9" t="s">
        <v>17</v>
      </c>
      <c r="D16" s="10" t="n">
        <f aca="false">'Frosted Finish – Top 3'!P19</f>
        <v>1.94100833333333</v>
      </c>
      <c r="E16" s="11" t="n">
        <f aca="false">'Frosted Finish – Top 3'!S19</f>
        <v>2.3595125</v>
      </c>
      <c r="F16" s="12" t="n">
        <f aca="false">'Frosted Finish – Top 3'!Q19</f>
        <v>11646.05</v>
      </c>
      <c r="G16" s="9" t="s">
        <v>36</v>
      </c>
      <c r="H16" s="9" t="s">
        <v>37</v>
      </c>
      <c r="I16" s="9" t="s">
        <v>38</v>
      </c>
    </row>
    <row r="17" customFormat="false" ht="51.75" hidden="false" customHeight="true" outlineLevel="0" collapsed="false">
      <c r="A17" s="8" t="s">
        <v>25</v>
      </c>
      <c r="B17" s="8" t="s">
        <v>39</v>
      </c>
      <c r="C17" s="9" t="s">
        <v>17</v>
      </c>
      <c r="D17" s="10" t="n">
        <f aca="false">'Frosted Finish – Top 3'!P28</f>
        <v>2.05508833333333</v>
      </c>
      <c r="E17" s="11" t="n">
        <f aca="false">'Frosted Finish – Top 3'!S28</f>
        <v>2.5306325</v>
      </c>
      <c r="F17" s="12" t="n">
        <f aca="false">'Frosted Finish – Top 3'!Q28</f>
        <v>12330.53</v>
      </c>
      <c r="G17" s="9" t="s">
        <v>36</v>
      </c>
      <c r="H17" s="9" t="s">
        <v>40</v>
      </c>
      <c r="I17" s="9" t="s">
        <v>41</v>
      </c>
    </row>
    <row r="19" customFormat="false" ht="15" hidden="false" customHeight="false" outlineLevel="0" collapsed="false">
      <c r="A19" s="6" t="s">
        <v>42</v>
      </c>
      <c r="B19" s="6"/>
      <c r="C19" s="6"/>
      <c r="D19" s="6"/>
      <c r="E19" s="6"/>
      <c r="F19" s="6"/>
      <c r="G19" s="6"/>
      <c r="H19" s="6"/>
      <c r="I19" s="6"/>
    </row>
    <row r="20" customFormat="false" ht="23.85" hidden="false" customHeight="false" outlineLevel="0" collapsed="false">
      <c r="A20" s="7" t="s">
        <v>43</v>
      </c>
      <c r="B20" s="7" t="s">
        <v>44</v>
      </c>
      <c r="C20" s="7"/>
      <c r="D20" s="7" t="s">
        <v>45</v>
      </c>
      <c r="E20" s="7" t="s">
        <v>46</v>
      </c>
      <c r="F20" s="7" t="s">
        <v>47</v>
      </c>
      <c r="G20" s="7" t="s">
        <v>48</v>
      </c>
    </row>
    <row r="21" customFormat="false" ht="15" hidden="false" customHeight="false" outlineLevel="0" collapsed="false">
      <c r="A21" s="13" t="s">
        <v>49</v>
      </c>
      <c r="B21" s="14" t="str">
        <f aca="false">'Split Plan – Local vs China'!B6</f>
        <v>Regular – all local (Burch)</v>
      </c>
      <c r="C21" s="14"/>
      <c r="D21" s="15" t="n">
        <f aca="false">'Split Plan – Local vs China'!C6</f>
        <v>6696.05</v>
      </c>
      <c r="E21" s="16" t="n">
        <f aca="false">'Split Plan – Local vs China'!E6</f>
        <v>9207.075</v>
      </c>
      <c r="F21" s="16" t="n">
        <f aca="false">'Split Plan – Local vs China'!D6</f>
        <v>0</v>
      </c>
      <c r="G21" s="16" t="n">
        <f aca="false">'Split Plan – Local vs China'!F6</f>
        <v>0</v>
      </c>
    </row>
    <row r="22" customFormat="false" ht="15" hidden="false" customHeight="false" outlineLevel="0" collapsed="false">
      <c r="A22" s="13" t="s">
        <v>50</v>
      </c>
      <c r="B22" s="14" t="str">
        <f aca="false">'Split Plan – Local vs China'!B7</f>
        <v>Regular – 60ct local, rest China</v>
      </c>
      <c r="C22" s="14"/>
      <c r="D22" s="15" t="n">
        <f aca="false">'Split Plan – Local vs China'!C7</f>
        <v>7090.7</v>
      </c>
      <c r="E22" s="16" t="n">
        <f aca="false">'Split Plan – Local vs China'!E7</f>
        <v>7940.55</v>
      </c>
      <c r="F22" s="16" t="n">
        <f aca="false">'Split Plan – Local vs China'!D7</f>
        <v>394.650000000001</v>
      </c>
      <c r="G22" s="16" t="n">
        <f aca="false">'Split Plan – Local vs China'!F7</f>
        <v>-1266.525</v>
      </c>
    </row>
    <row r="23" customFormat="false" ht="15" hidden="false" customHeight="false" outlineLevel="0" collapsed="false">
      <c r="A23" s="13" t="s">
        <v>51</v>
      </c>
      <c r="B23" s="14" t="str">
        <f aca="false">'Split Plan – Local vs China'!B8</f>
        <v>Regular – 90ct local (Burch), rest China</v>
      </c>
      <c r="C23" s="14"/>
      <c r="D23" s="15" t="n">
        <f aca="false">'Split Plan – Local vs China'!C8</f>
        <v>6855</v>
      </c>
      <c r="E23" s="16" t="n">
        <f aca="false">'Split Plan – Local vs China'!E8</f>
        <v>7664.6</v>
      </c>
      <c r="F23" s="16" t="n">
        <f aca="false">'Split Plan – Local vs China'!D8</f>
        <v>158.950000000001</v>
      </c>
      <c r="G23" s="16" t="n">
        <f aca="false">'Split Plan – Local vs China'!F8</f>
        <v>-1542.475</v>
      </c>
    </row>
    <row r="24" customFormat="false" ht="15" hidden="false" customHeight="false" outlineLevel="0" collapsed="false">
      <c r="A24" s="13" t="s">
        <v>52</v>
      </c>
      <c r="B24" s="14" t="str">
        <f aca="false">'Split Plan – Local vs China'!B9</f>
        <v>Regular – 90ct local (Richards, Canada), rest China</v>
      </c>
      <c r="C24" s="14"/>
      <c r="D24" s="15" t="n">
        <f aca="false">'Split Plan – Local vs China'!C9</f>
        <v>7288.8</v>
      </c>
      <c r="E24" s="16" t="n">
        <f aca="false">'Split Plan – Local vs China'!E9</f>
        <v>7288.8</v>
      </c>
      <c r="F24" s="16" t="n">
        <f aca="false">'Split Plan – Local vs China'!D9</f>
        <v>592.750000000001</v>
      </c>
      <c r="G24" s="16" t="n">
        <f aca="false">'Split Plan – Local vs China'!F9</f>
        <v>-1918.275</v>
      </c>
    </row>
    <row r="25" customFormat="false" ht="15" hidden="false" customHeight="false" outlineLevel="0" collapsed="false">
      <c r="A25" s="13" t="s">
        <v>53</v>
      </c>
      <c r="B25" s="14" t="str">
        <f aca="false">'Split Plan – Local vs China'!B11</f>
        <v>Frosted – all local (Burch + spray frost)</v>
      </c>
      <c r="C25" s="14"/>
      <c r="D25" s="15" t="n">
        <f aca="false">'Split Plan – Local vs China'!C11</f>
        <v>11646.05</v>
      </c>
      <c r="E25" s="16" t="n">
        <f aca="false">'Split Plan – Local vs China'!E11</f>
        <v>14157.075</v>
      </c>
      <c r="F25" s="16" t="n">
        <f aca="false">'Split Plan – Local vs China'!D11</f>
        <v>0</v>
      </c>
      <c r="G25" s="16" t="n">
        <f aca="false">'Split Plan – Local vs China'!F11</f>
        <v>0</v>
      </c>
    </row>
    <row r="26" customFormat="false" ht="15" hidden="false" customHeight="false" outlineLevel="0" collapsed="false">
      <c r="A26" s="13" t="s">
        <v>54</v>
      </c>
      <c r="B26" s="14" t="str">
        <f aca="false">'Split Plan – Local vs China'!B12</f>
        <v>Frosted – 60ct local, rest China</v>
      </c>
      <c r="C26" s="14"/>
      <c r="D26" s="15" t="n">
        <f aca="false">'Split Plan – Local vs China'!C12</f>
        <v>9271.9</v>
      </c>
      <c r="E26" s="16" t="n">
        <f aca="false">'Split Plan – Local vs China'!E12</f>
        <v>10121.75</v>
      </c>
      <c r="F26" s="16" t="n">
        <f aca="false">'Split Plan – Local vs China'!D12</f>
        <v>-2374.15</v>
      </c>
      <c r="G26" s="16" t="n">
        <f aca="false">'Split Plan – Local vs China'!F12</f>
        <v>-4035.325</v>
      </c>
    </row>
    <row r="27" customFormat="false" ht="15" hidden="false" customHeight="false" outlineLevel="0" collapsed="false">
      <c r="A27" s="13" t="s">
        <v>55</v>
      </c>
      <c r="B27" s="14" t="str">
        <f aca="false">'Split Plan – Local vs China'!B13</f>
        <v>Frosted – 90ct local (Burch + spray frost), rest China</v>
      </c>
      <c r="C27" s="14"/>
      <c r="D27" s="15" t="n">
        <f aca="false">'Split Plan – Local vs China'!C13</f>
        <v>9091.4</v>
      </c>
      <c r="E27" s="16" t="n">
        <f aca="false">'Split Plan – Local vs China'!E13</f>
        <v>9901</v>
      </c>
      <c r="F27" s="16" t="n">
        <f aca="false">'Split Plan – Local vs China'!D13</f>
        <v>-2554.65</v>
      </c>
      <c r="G27" s="16" t="n">
        <f aca="false">'Split Plan – Local vs China'!F13</f>
        <v>-4256.075</v>
      </c>
    </row>
    <row r="28" customFormat="false" ht="15" hidden="false" customHeight="false" outlineLevel="0" collapsed="false">
      <c r="A28" s="13" t="s">
        <v>56</v>
      </c>
      <c r="B28" s="14" t="str">
        <f aca="false">'Split Plan – Local vs China'!B14</f>
        <v>Frosted – 90ct local (Liquid Bottles stock), rest China</v>
      </c>
      <c r="C28" s="14"/>
      <c r="D28" s="15" t="n">
        <f aca="false">'Split Plan – Local vs China'!C14</f>
        <v>10369.4</v>
      </c>
      <c r="E28" s="16" t="n">
        <f aca="false">'Split Plan – Local vs China'!E14</f>
        <v>12743</v>
      </c>
      <c r="F28" s="16" t="n">
        <f aca="false">'Split Plan – Local vs China'!D14</f>
        <v>-1276.65</v>
      </c>
      <c r="G28" s="16" t="n">
        <f aca="false">'Split Plan – Local vs China'!F14</f>
        <v>-1414.075</v>
      </c>
    </row>
    <row r="30" customFormat="false" ht="15" hidden="false" customHeight="false" outlineLevel="0" collapsed="false">
      <c r="A30" s="4" t="s">
        <v>57</v>
      </c>
    </row>
    <row r="31" customFormat="false" ht="15" hidden="false" customHeight="false" outlineLevel="0" collapsed="false">
      <c r="A31" s="4" t="s">
        <v>58</v>
      </c>
    </row>
    <row r="32" customFormat="false" ht="15" hidden="false" customHeight="false" outlineLevel="0" collapsed="false">
      <c r="A32" s="17" t="s">
        <v>59</v>
      </c>
    </row>
    <row r="33" customFormat="false" ht="15" hidden="false" customHeight="false" outlineLevel="0" collapsed="false">
      <c r="A33" s="17" t="str">
        <f aca="false">"  • If they ARE US-made (surtax): split. Buy the 90ct locally from Richards (Canada, China-made 9 oz, no surtax) and Balance + 60ct from China. Saves ~CAD "&amp;TEXT(-'Split Plan – Local vs China'!F9,"#,##0")&amp;" vs all-local."</f>
        <v>  • If they ARE US-made (surtax): split. Buy the 90ct locally from Richards (Canada, China-made 9 oz, no surtax) and Balance + 60ct from China. Saves ~CAD 1,918 vs all-local.</v>
      </c>
    </row>
    <row r="34" customFormat="false" ht="15" hidden="false" customHeight="false" outlineLevel="0" collapsed="false">
      <c r="A34" s="4" t="s">
        <v>60</v>
      </c>
    </row>
    <row r="35" customFormat="false" ht="15" hidden="false" customHeight="false" outlineLevel="0" collapsed="false">
      <c r="A35" s="17" t="str">
        <f aca="false">"  • Split clearly wins: 90ct locally (Burch 9 oz + spray frost), Balance + 60ct frosted from China. Saves ~CAD "&amp;TEXT(-'Split Plan – Local vs China'!D13,"#,##0")&amp;" vs all-local frosting (~CAD "&amp;TEXT(-'Split Plan – Local vs China'!F13,"#,##0")&amp;" if the surtax applies)."</f>
        <v>  • Split clearly wins: 90ct locally (Burch 9 oz + spray frost), Balance + 60ct frosted from China. Saves ~CAD 2,555 vs all-local frosting (~CAD 4,256 if the surtax applies).</v>
      </c>
    </row>
    <row r="36" customFormat="false" ht="15" hidden="false" customHeight="false" outlineLevel="0" collapsed="false">
      <c r="A36" s="4" t="s">
        <v>61</v>
      </c>
    </row>
    <row r="37" customFormat="false" ht="15" hidden="false" customHeight="false" outlineLevel="0" collapsed="false">
      <c r="A37" s="4" t="s">
        <v>62</v>
      </c>
    </row>
    <row r="38" customFormat="false" ht="15" hidden="false" customHeight="false" outlineLevel="0" collapsed="false">
      <c r="A38" s="4" t="s">
        <v>63</v>
      </c>
    </row>
  </sheetData>
  <mergeCells count="12">
    <mergeCell ref="A3:I3"/>
    <mergeCell ref="A7:I7"/>
    <mergeCell ref="A13:I13"/>
    <mergeCell ref="A19:I19"/>
    <mergeCell ref="B21:C21"/>
    <mergeCell ref="B22:C22"/>
    <mergeCell ref="B23:C23"/>
    <mergeCell ref="B24:C24"/>
    <mergeCell ref="B25:C25"/>
    <mergeCell ref="B26:C26"/>
    <mergeCell ref="B27:C27"/>
    <mergeCell ref="B28:C28"/>
  </mergeCells>
  <conditionalFormatting sqref="D21:D24">
    <cfRule type="expression" priority="2" aboveAverage="0" equalAverage="0" bottom="0" percent="0" rank="0" text="" dxfId="0">
      <formula>D21=MIN($D$21:$D$24)</formula>
    </cfRule>
  </conditionalFormatting>
  <conditionalFormatting sqref="E21:E24">
    <cfRule type="expression" priority="3" aboveAverage="0" equalAverage="0" bottom="0" percent="0" rank="0" text="" dxfId="0">
      <formula>E21=MIN($E$21:$E$24)</formula>
    </cfRule>
  </conditionalFormatting>
  <conditionalFormatting sqref="D25:D28">
    <cfRule type="expression" priority="4" aboveAverage="0" equalAverage="0" bottom="0" percent="0" rank="0" text="" dxfId="0">
      <formula>D25=MIN($D$25:$D$28)</formula>
    </cfRule>
  </conditionalFormatting>
  <conditionalFormatting sqref="E25:E28">
    <cfRule type="expression" priority="5" aboveAverage="0" equalAverage="0" bottom="0" percent="0" rank="0" text="" dxfId="0">
      <formula>E25=MIN($E$25:$E$28)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2" min="2" style="0" width="14"/>
    <col collapsed="false" customWidth="true" hidden="false" outlineLevel="0" max="3" min="3" style="0" width="100"/>
  </cols>
  <sheetData>
    <row r="1" customFormat="false" ht="17.35" hidden="false" customHeight="false" outlineLevel="0" collapsed="false">
      <c r="A1" s="1" t="s">
        <v>64</v>
      </c>
    </row>
    <row r="2" customFormat="false" ht="15" hidden="false" customHeight="false" outlineLevel="0" collapsed="false">
      <c r="A2" s="2" t="s">
        <v>65</v>
      </c>
    </row>
    <row r="4" customFormat="false" ht="15" hidden="false" customHeight="false" outlineLevel="0" collapsed="false">
      <c r="A4" s="4" t="s">
        <v>66</v>
      </c>
    </row>
    <row r="5" customFormat="false" ht="15" hidden="false" customHeight="false" outlineLevel="0" collapsed="false">
      <c r="A5" s="17" t="s">
        <v>67</v>
      </c>
      <c r="B5" s="18" t="n">
        <v>2000</v>
      </c>
      <c r="C5" s="19" t="s">
        <v>68</v>
      </c>
    </row>
    <row r="6" customFormat="false" ht="15" hidden="false" customHeight="false" outlineLevel="0" collapsed="false">
      <c r="A6" s="17" t="s">
        <v>69</v>
      </c>
      <c r="B6" s="20" t="n">
        <v>3</v>
      </c>
      <c r="C6" s="19" t="s">
        <v>70</v>
      </c>
    </row>
    <row r="7" customFormat="false" ht="15" hidden="false" customHeight="false" outlineLevel="0" collapsed="false">
      <c r="A7" s="17" t="s">
        <v>71</v>
      </c>
      <c r="B7" s="21" t="n">
        <v>1.38</v>
      </c>
      <c r="C7" s="19" t="s">
        <v>72</v>
      </c>
    </row>
    <row r="8" customFormat="false" ht="15" hidden="false" customHeight="false" outlineLevel="0" collapsed="false">
      <c r="A8" s="17" t="s">
        <v>73</v>
      </c>
      <c r="B8" s="22" t="n">
        <v>3.74</v>
      </c>
      <c r="C8" s="19" t="s">
        <v>74</v>
      </c>
    </row>
    <row r="9" customFormat="false" ht="15" hidden="false" customHeight="false" outlineLevel="0" collapsed="false">
      <c r="A9" s="17" t="s">
        <v>75</v>
      </c>
      <c r="B9" s="22" t="n">
        <v>0.3</v>
      </c>
      <c r="C9" s="19" t="s">
        <v>76</v>
      </c>
    </row>
    <row r="10" customFormat="false" ht="15" hidden="false" customHeight="false" outlineLevel="0" collapsed="false">
      <c r="A10" s="17" t="s">
        <v>77</v>
      </c>
      <c r="B10" s="23" t="n">
        <f aca="false">$B$8-$B$9</f>
        <v>3.44</v>
      </c>
      <c r="C10" s="19" t="s">
        <v>78</v>
      </c>
    </row>
    <row r="11" customFormat="false" ht="15" hidden="false" customHeight="false" outlineLevel="0" collapsed="false">
      <c r="A11" s="17" t="s">
        <v>79</v>
      </c>
      <c r="B11" s="22"/>
      <c r="C11" s="19" t="s">
        <v>80</v>
      </c>
    </row>
    <row r="12" customFormat="false" ht="15" hidden="false" customHeight="false" outlineLevel="0" collapsed="false">
      <c r="A12" s="17" t="s">
        <v>81</v>
      </c>
      <c r="B12" s="23" t="n">
        <f aca="false">IF($B$11="",$B$10,$B$11)</f>
        <v>3.44</v>
      </c>
      <c r="C12" s="19" t="s">
        <v>82</v>
      </c>
    </row>
    <row r="14" customFormat="false" ht="15" hidden="false" customHeight="false" outlineLevel="0" collapsed="false">
      <c r="A14" s="4" t="s">
        <v>83</v>
      </c>
    </row>
    <row r="15" customFormat="false" ht="15" hidden="false" customHeight="false" outlineLevel="0" collapsed="false">
      <c r="A15" s="17" t="s">
        <v>84</v>
      </c>
      <c r="B15" s="24" t="n">
        <v>1050</v>
      </c>
      <c r="C15" s="19" t="s">
        <v>85</v>
      </c>
    </row>
    <row r="16" customFormat="false" ht="15" hidden="false" customHeight="false" outlineLevel="0" collapsed="false">
      <c r="A16" s="17" t="s">
        <v>86</v>
      </c>
      <c r="B16" s="24" t="n">
        <v>225</v>
      </c>
      <c r="C16" s="19" t="s">
        <v>87</v>
      </c>
    </row>
    <row r="17" customFormat="false" ht="15" hidden="false" customHeight="false" outlineLevel="0" collapsed="false">
      <c r="A17" s="17" t="s">
        <v>88</v>
      </c>
      <c r="B17" s="24" t="n">
        <v>400</v>
      </c>
      <c r="C17" s="19" t="s">
        <v>89</v>
      </c>
    </row>
    <row r="18" customFormat="false" ht="15" hidden="false" customHeight="false" outlineLevel="0" collapsed="false">
      <c r="A18" s="17" t="s">
        <v>90</v>
      </c>
      <c r="B18" s="24" t="n">
        <v>1800</v>
      </c>
      <c r="C18" s="19" t="s">
        <v>91</v>
      </c>
    </row>
    <row r="20" customFormat="false" ht="15" hidden="false" customHeight="false" outlineLevel="0" collapsed="false">
      <c r="A20" s="4" t="s">
        <v>92</v>
      </c>
    </row>
    <row r="21" customFormat="false" ht="15" hidden="false" customHeight="false" outlineLevel="0" collapsed="false">
      <c r="A21" s="17" t="s">
        <v>93</v>
      </c>
      <c r="B21" s="24" t="n">
        <v>400</v>
      </c>
      <c r="C21" s="19" t="s">
        <v>94</v>
      </c>
    </row>
    <row r="22" customFormat="false" ht="15" hidden="false" customHeight="false" outlineLevel="0" collapsed="false">
      <c r="A22" s="17" t="s">
        <v>95</v>
      </c>
      <c r="B22" s="24" t="n">
        <v>175</v>
      </c>
      <c r="C22" s="19" t="s">
        <v>96</v>
      </c>
    </row>
    <row r="23" customFormat="false" ht="15" hidden="false" customHeight="false" outlineLevel="0" collapsed="false">
      <c r="A23" s="17" t="s">
        <v>97</v>
      </c>
      <c r="B23" s="24" t="n">
        <v>300</v>
      </c>
      <c r="C23" s="19" t="s">
        <v>98</v>
      </c>
    </row>
    <row r="24" customFormat="false" ht="22.35" hidden="false" customHeight="false" outlineLevel="0" collapsed="false">
      <c r="A24" s="17" t="s">
        <v>99</v>
      </c>
      <c r="B24" s="24" t="n">
        <v>1500</v>
      </c>
      <c r="C24" s="19" t="s">
        <v>100</v>
      </c>
    </row>
    <row r="25" customFormat="false" ht="15" hidden="false" customHeight="false" outlineLevel="0" collapsed="false">
      <c r="A25" s="17" t="s">
        <v>101</v>
      </c>
      <c r="B25" s="24" t="n">
        <v>1400</v>
      </c>
      <c r="C25" s="19" t="s">
        <v>102</v>
      </c>
    </row>
    <row r="26" customFormat="false" ht="15" hidden="false" customHeight="false" outlineLevel="0" collapsed="false">
      <c r="A26" s="17" t="s">
        <v>103</v>
      </c>
      <c r="B26" s="24" t="n">
        <v>680</v>
      </c>
      <c r="C26" s="19" t="s">
        <v>104</v>
      </c>
    </row>
    <row r="28" customFormat="false" ht="15" hidden="false" customHeight="false" outlineLevel="0" collapsed="false">
      <c r="A28" s="4" t="s">
        <v>105</v>
      </c>
    </row>
    <row r="29" customFormat="false" ht="15" hidden="false" customHeight="false" outlineLevel="0" collapsed="false">
      <c r="A29" s="17" t="s">
        <v>106</v>
      </c>
      <c r="B29" s="25" t="n">
        <v>0</v>
      </c>
      <c r="C29" s="19" t="s">
        <v>107</v>
      </c>
    </row>
    <row r="30" customFormat="false" ht="32.8" hidden="false" customHeight="false" outlineLevel="0" collapsed="false">
      <c r="A30" s="17" t="s">
        <v>108</v>
      </c>
      <c r="B30" s="25" t="n">
        <v>0.5</v>
      </c>
      <c r="C30" s="19" t="s">
        <v>109</v>
      </c>
    </row>
    <row r="32" customFormat="false" ht="15" hidden="false" customHeight="false" outlineLevel="0" collapsed="false">
      <c r="A32" s="4" t="s">
        <v>110</v>
      </c>
    </row>
    <row r="33" customFormat="false" ht="15" hidden="false" customHeight="false" outlineLevel="0" collapsed="false">
      <c r="A33" s="17" t="s">
        <v>111</v>
      </c>
      <c r="B33" s="22" t="n">
        <v>0.45</v>
      </c>
      <c r="C33" s="19" t="s">
        <v>112</v>
      </c>
    </row>
    <row r="34" customFormat="false" ht="15" hidden="false" customHeight="false" outlineLevel="0" collapsed="false">
      <c r="A34" s="17" t="s">
        <v>113</v>
      </c>
      <c r="B34" s="24" t="n">
        <v>650</v>
      </c>
      <c r="C34" s="19" t="s">
        <v>114</v>
      </c>
    </row>
    <row r="35" customFormat="false" ht="15" hidden="false" customHeight="false" outlineLevel="0" collapsed="false">
      <c r="A35" s="17" t="s">
        <v>115</v>
      </c>
      <c r="B35" s="24" t="n">
        <v>300</v>
      </c>
      <c r="C35" s="19" t="s">
        <v>104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11" min="2" style="0" width="13"/>
  </cols>
  <sheetData>
    <row r="1" customFormat="false" ht="17.35" hidden="false" customHeight="false" outlineLevel="0" collapsed="false">
      <c r="A1" s="1" t="s">
        <v>116</v>
      </c>
    </row>
    <row r="2" customFormat="false" ht="15" hidden="false" customHeight="false" outlineLevel="0" collapsed="false">
      <c r="A2" s="2" t="s">
        <v>117</v>
      </c>
    </row>
    <row r="4" customFormat="false" ht="15" hidden="false" customHeight="false" outlineLevel="0" collapsed="false">
      <c r="A4" s="4" t="s">
        <v>118</v>
      </c>
    </row>
    <row r="5" customFormat="false" ht="42" hidden="false" customHeight="true" outlineLevel="0" collapsed="false">
      <c r="A5" s="26" t="s">
        <v>119</v>
      </c>
      <c r="B5" s="26" t="s">
        <v>120</v>
      </c>
      <c r="C5" s="26" t="s">
        <v>121</v>
      </c>
      <c r="D5" s="26" t="s">
        <v>122</v>
      </c>
      <c r="E5" s="26" t="s">
        <v>123</v>
      </c>
      <c r="F5" s="26" t="s">
        <v>124</v>
      </c>
    </row>
    <row r="6" customFormat="false" ht="15" hidden="false" customHeight="false" outlineLevel="0" collapsed="false">
      <c r="A6" s="13" t="s">
        <v>125</v>
      </c>
      <c r="B6" s="27" t="n">
        <v>21.7</v>
      </c>
      <c r="C6" s="21" t="n">
        <v>7.65</v>
      </c>
      <c r="D6" s="28" t="n">
        <f aca="false">(PI()*(C6/2)^2*(B6-C6)+4/3*PI()*(C6/2)^3)/1000</f>
        <v>0.88020033593373</v>
      </c>
      <c r="E6" s="29" t="n">
        <f aca="false">D6/$B$10</f>
        <v>1.60036424715224</v>
      </c>
      <c r="F6" s="29" t="n">
        <f aca="false">E6*(1+$B$11)</f>
        <v>1.84041888422507</v>
      </c>
    </row>
    <row r="7" customFormat="false" ht="15" hidden="false" customHeight="false" outlineLevel="0" collapsed="false">
      <c r="A7" s="13" t="s">
        <v>126</v>
      </c>
      <c r="B7" s="27" t="n">
        <v>23.3</v>
      </c>
      <c r="C7" s="21" t="n">
        <v>8.53</v>
      </c>
      <c r="D7" s="28" t="n">
        <f aca="false">(PI()*(C7/2)^2*(B7-C7)+4/3*PI()*(C7/2)^3)/1000</f>
        <v>1.16902234447664</v>
      </c>
      <c r="E7" s="29" t="n">
        <f aca="false">D7/$B$10</f>
        <v>2.1254951717757</v>
      </c>
      <c r="F7" s="29" t="n">
        <f aca="false">E7*(1+$B$11)</f>
        <v>2.44431944754206</v>
      </c>
    </row>
    <row r="9" customFormat="false" ht="15" hidden="false" customHeight="false" outlineLevel="0" collapsed="false">
      <c r="A9" s="4" t="s">
        <v>127</v>
      </c>
    </row>
    <row r="10" customFormat="false" ht="15" hidden="false" customHeight="false" outlineLevel="0" collapsed="false">
      <c r="A10" s="17" t="s">
        <v>128</v>
      </c>
      <c r="B10" s="21" t="n">
        <v>0.55</v>
      </c>
      <c r="C10" s="2" t="s">
        <v>129</v>
      </c>
    </row>
    <row r="11" customFormat="false" ht="15" hidden="false" customHeight="false" outlineLevel="0" collapsed="false">
      <c r="A11" s="17" t="s">
        <v>130</v>
      </c>
      <c r="B11" s="25" t="n">
        <v>0.15</v>
      </c>
      <c r="C11" s="2" t="s">
        <v>131</v>
      </c>
    </row>
    <row r="12" customFormat="false" ht="15" hidden="false" customHeight="false" outlineLevel="0" collapsed="false">
      <c r="A12" s="17" t="s">
        <v>132</v>
      </c>
      <c r="B12" s="25" t="n">
        <v>0.5</v>
      </c>
      <c r="C12" s="2" t="s">
        <v>133</v>
      </c>
    </row>
    <row r="13" customFormat="false" ht="15" hidden="false" customHeight="false" outlineLevel="0" collapsed="false">
      <c r="A13" s="17" t="s">
        <v>134</v>
      </c>
      <c r="B13" s="25" t="n">
        <v>0.9</v>
      </c>
    </row>
    <row r="15" customFormat="false" ht="15" hidden="false" customHeight="false" outlineLevel="0" collapsed="false">
      <c r="A15" s="4" t="s">
        <v>135</v>
      </c>
    </row>
    <row r="16" customFormat="false" ht="15" hidden="false" customHeight="false" outlineLevel="0" collapsed="false">
      <c r="A16" s="30" t="s">
        <v>136</v>
      </c>
      <c r="B16" s="30" t="s">
        <v>137</v>
      </c>
      <c r="C16" s="30" t="s">
        <v>138</v>
      </c>
    </row>
    <row r="17" customFormat="false" ht="15" hidden="false" customHeight="false" outlineLevel="0" collapsed="false">
      <c r="A17" s="13" t="s">
        <v>139</v>
      </c>
      <c r="B17" s="20" t="n">
        <v>118</v>
      </c>
      <c r="C17" s="31" t="s">
        <v>140</v>
      </c>
      <c r="D17" s="2" t="s">
        <v>141</v>
      </c>
    </row>
    <row r="18" customFormat="false" ht="15" hidden="false" customHeight="false" outlineLevel="0" collapsed="false">
      <c r="A18" s="13" t="s">
        <v>142</v>
      </c>
      <c r="B18" s="20" t="n">
        <v>177</v>
      </c>
      <c r="C18" s="31" t="s">
        <v>143</v>
      </c>
    </row>
    <row r="19" customFormat="false" ht="15" hidden="false" customHeight="false" outlineLevel="0" collapsed="false">
      <c r="A19" s="13" t="s">
        <v>144</v>
      </c>
      <c r="B19" s="20" t="n">
        <v>190</v>
      </c>
      <c r="C19" s="31" t="s">
        <v>145</v>
      </c>
    </row>
    <row r="20" customFormat="false" ht="15" hidden="false" customHeight="false" outlineLevel="0" collapsed="false">
      <c r="A20" s="13" t="s">
        <v>146</v>
      </c>
      <c r="B20" s="20" t="n">
        <v>237</v>
      </c>
      <c r="C20" s="31" t="s">
        <v>147</v>
      </c>
    </row>
    <row r="21" customFormat="false" ht="15" hidden="false" customHeight="false" outlineLevel="0" collapsed="false">
      <c r="A21" s="13" t="s">
        <v>148</v>
      </c>
      <c r="B21" s="20" t="n">
        <v>250</v>
      </c>
      <c r="C21" s="31" t="s">
        <v>149</v>
      </c>
    </row>
    <row r="22" customFormat="false" ht="15" hidden="false" customHeight="false" outlineLevel="0" collapsed="false">
      <c r="A22" s="13" t="s">
        <v>150</v>
      </c>
      <c r="B22" s="20" t="n">
        <v>266</v>
      </c>
      <c r="C22" s="31" t="s">
        <v>147</v>
      </c>
    </row>
    <row r="24" customFormat="false" ht="15" hidden="false" customHeight="false" outlineLevel="0" collapsed="false">
      <c r="A24" s="4" t="s">
        <v>151</v>
      </c>
    </row>
    <row r="25" customFormat="false" ht="30" hidden="false" customHeight="true" outlineLevel="0" collapsed="false">
      <c r="A25" s="26" t="s">
        <v>152</v>
      </c>
      <c r="B25" s="26" t="s">
        <v>119</v>
      </c>
      <c r="C25" s="26" t="s">
        <v>153</v>
      </c>
      <c r="D25" s="26" t="s">
        <v>154</v>
      </c>
      <c r="E25" s="26" t="s">
        <v>155</v>
      </c>
      <c r="F25" s="26" t="s">
        <v>139</v>
      </c>
      <c r="G25" s="26" t="s">
        <v>142</v>
      </c>
      <c r="H25" s="26" t="s">
        <v>144</v>
      </c>
      <c r="I25" s="26" t="s">
        <v>146</v>
      </c>
      <c r="J25" s="26" t="s">
        <v>148</v>
      </c>
      <c r="K25" s="26" t="s">
        <v>150</v>
      </c>
    </row>
    <row r="26" customFormat="false" ht="15" hidden="false" customHeight="false" outlineLevel="0" collapsed="false">
      <c r="A26" s="31" t="s">
        <v>156</v>
      </c>
      <c r="B26" s="32" t="s">
        <v>125</v>
      </c>
      <c r="C26" s="20" t="n">
        <v>30</v>
      </c>
      <c r="D26" s="33" t="n">
        <f aca="false">C26*INDEX($E$6:$E$7,MATCH(B26,$A$6:$A$7,0))</f>
        <v>48.0109274145671</v>
      </c>
      <c r="E26" s="33" t="n">
        <f aca="false">C26*INDEX($F$6:$F$7,MATCH(B26,$A$6:$A$7,0))</f>
        <v>55.2125665267522</v>
      </c>
      <c r="F26" s="34" t="n">
        <f aca="false">$D26/$B$17</f>
        <v>0.406872266225145</v>
      </c>
      <c r="G26" s="34" t="n">
        <f aca="false">$D26/$B$18</f>
        <v>0.27124817748343</v>
      </c>
      <c r="H26" s="34" t="n">
        <f aca="false">$D26/$B$19</f>
        <v>0.252689091655616</v>
      </c>
      <c r="I26" s="34" t="n">
        <f aca="false">$D26/$B$20</f>
        <v>0.202577752804081</v>
      </c>
      <c r="J26" s="34" t="n">
        <f aca="false">$D26/$B$21</f>
        <v>0.192043709658268</v>
      </c>
      <c r="K26" s="34" t="n">
        <f aca="false">$D26/$B$22</f>
        <v>0.18049220832544</v>
      </c>
    </row>
    <row r="27" customFormat="false" ht="15" hidden="false" customHeight="false" outlineLevel="0" collapsed="false">
      <c r="A27" s="31" t="s">
        <v>157</v>
      </c>
      <c r="B27" s="32" t="s">
        <v>126</v>
      </c>
      <c r="C27" s="20" t="n">
        <v>60</v>
      </c>
      <c r="D27" s="33" t="n">
        <f aca="false">C27*INDEX($E$6:$E$7,MATCH(B27,$A$6:$A$7,0))</f>
        <v>127.529710306542</v>
      </c>
      <c r="E27" s="33" t="n">
        <f aca="false">C27*INDEX($F$6:$F$7,MATCH(B27,$A$6:$A$7,0))</f>
        <v>146.659166852524</v>
      </c>
      <c r="F27" s="34" t="n">
        <f aca="false">$D27/$B$17</f>
        <v>1.0807602568351</v>
      </c>
      <c r="G27" s="34" t="n">
        <f aca="false">$D27/$B$18</f>
        <v>0.720506837890069</v>
      </c>
      <c r="H27" s="34" t="n">
        <f aca="false">$D27/$B$19</f>
        <v>0.67120900161338</v>
      </c>
      <c r="I27" s="34" t="n">
        <f aca="false">$D27/$B$20</f>
        <v>0.53810004348752</v>
      </c>
      <c r="J27" s="34" t="n">
        <f aca="false">$D27/$B$21</f>
        <v>0.510118841226169</v>
      </c>
      <c r="K27" s="34" t="n">
        <f aca="false">$D27/$B$22</f>
        <v>0.479435001152415</v>
      </c>
    </row>
    <row r="28" customFormat="false" ht="15" hidden="false" customHeight="false" outlineLevel="0" collapsed="false">
      <c r="A28" s="31" t="s">
        <v>158</v>
      </c>
      <c r="B28" s="32" t="s">
        <v>125</v>
      </c>
      <c r="C28" s="20" t="n">
        <v>60</v>
      </c>
      <c r="D28" s="33" t="n">
        <f aca="false">C28*INDEX($E$6:$E$7,MATCH(B28,$A$6:$A$7,0))</f>
        <v>96.0218548291342</v>
      </c>
      <c r="E28" s="33" t="n">
        <f aca="false">C28*INDEX($F$6:$F$7,MATCH(B28,$A$6:$A$7,0))</f>
        <v>110.425133053504</v>
      </c>
      <c r="F28" s="34" t="n">
        <f aca="false">$D28/$B$17</f>
        <v>0.81374453245029</v>
      </c>
      <c r="G28" s="34" t="n">
        <f aca="false">$D28/$B$18</f>
        <v>0.54249635496686</v>
      </c>
      <c r="H28" s="34" t="n">
        <f aca="false">$D28/$B$19</f>
        <v>0.505378183311233</v>
      </c>
      <c r="I28" s="34" t="n">
        <f aca="false">$D28/$B$20</f>
        <v>0.405155505608161</v>
      </c>
      <c r="J28" s="34" t="n">
        <f aca="false">$D28/$B$21</f>
        <v>0.384087419316537</v>
      </c>
      <c r="K28" s="34" t="n">
        <f aca="false">$D28/$B$22</f>
        <v>0.360984416650881</v>
      </c>
    </row>
    <row r="29" customFormat="false" ht="15" hidden="false" customHeight="false" outlineLevel="0" collapsed="false">
      <c r="A29" s="31" t="s">
        <v>159</v>
      </c>
      <c r="B29" s="32" t="s">
        <v>126</v>
      </c>
      <c r="C29" s="20" t="n">
        <v>90</v>
      </c>
      <c r="D29" s="33" t="n">
        <f aca="false">C29*INDEX($E$6:$E$7,MATCH(B29,$A$6:$A$7,0))</f>
        <v>191.294565459813</v>
      </c>
      <c r="E29" s="33" t="n">
        <f aca="false">C29*INDEX($F$6:$F$7,MATCH(B29,$A$6:$A$7,0))</f>
        <v>219.988750278785</v>
      </c>
      <c r="F29" s="34" t="n">
        <f aca="false">$D29/$B$17</f>
        <v>1.62114038525266</v>
      </c>
      <c r="G29" s="34" t="n">
        <f aca="false">$D29/$B$18</f>
        <v>1.0807602568351</v>
      </c>
      <c r="H29" s="34" t="n">
        <f aca="false">$D29/$B$19</f>
        <v>1.00681350242007</v>
      </c>
      <c r="I29" s="34" t="n">
        <f aca="false">$D29/$B$20</f>
        <v>0.80715006523128</v>
      </c>
      <c r="J29" s="34" t="n">
        <f aca="false">$D29/$B$21</f>
        <v>0.765178261839254</v>
      </c>
      <c r="K29" s="34" t="n">
        <f aca="false">$D29/$B$22</f>
        <v>0.719152501728622</v>
      </c>
    </row>
    <row r="30" customFormat="false" ht="15" hidden="false" customHeight="false" outlineLevel="0" collapsed="false">
      <c r="A30" s="31" t="s">
        <v>160</v>
      </c>
      <c r="B30" s="32" t="s">
        <v>125</v>
      </c>
      <c r="C30" s="20" t="n">
        <v>90</v>
      </c>
      <c r="D30" s="33" t="n">
        <f aca="false">C30*INDEX($E$6:$E$7,MATCH(B30,$A$6:$A$7,0))</f>
        <v>144.032782243701</v>
      </c>
      <c r="E30" s="33" t="n">
        <f aca="false">C30*INDEX($F$6:$F$7,MATCH(B30,$A$6:$A$7,0))</f>
        <v>165.637699580256</v>
      </c>
      <c r="F30" s="34" t="n">
        <f aca="false">$D30/$B$17</f>
        <v>1.22061679867543</v>
      </c>
      <c r="G30" s="34" t="n">
        <f aca="false">$D30/$B$18</f>
        <v>0.81374453245029</v>
      </c>
      <c r="H30" s="34" t="n">
        <f aca="false">$D30/$B$19</f>
        <v>0.758067274966849</v>
      </c>
      <c r="I30" s="34" t="n">
        <f aca="false">$D30/$B$20</f>
        <v>0.607733258412242</v>
      </c>
      <c r="J30" s="34" t="n">
        <f aca="false">$D30/$B$21</f>
        <v>0.576131128974805</v>
      </c>
      <c r="K30" s="34" t="n">
        <f aca="false">$D30/$B$22</f>
        <v>0.541476624976321</v>
      </c>
    </row>
    <row r="32" customFormat="false" ht="15" hidden="false" customHeight="false" outlineLevel="0" collapsed="false">
      <c r="A32" s="4" t="s">
        <v>161</v>
      </c>
    </row>
    <row r="33" customFormat="false" ht="30" hidden="false" customHeight="true" outlineLevel="0" collapsed="false">
      <c r="A33" s="26" t="s">
        <v>152</v>
      </c>
      <c r="B33" s="26" t="s">
        <v>119</v>
      </c>
      <c r="C33" s="26" t="s">
        <v>153</v>
      </c>
      <c r="D33" s="26" t="s">
        <v>154</v>
      </c>
      <c r="E33" s="26" t="s">
        <v>155</v>
      </c>
      <c r="F33" s="26" t="s">
        <v>139</v>
      </c>
      <c r="G33" s="26" t="s">
        <v>142</v>
      </c>
      <c r="H33" s="26" t="s">
        <v>144</v>
      </c>
      <c r="I33" s="26" t="s">
        <v>146</v>
      </c>
      <c r="J33" s="26" t="s">
        <v>148</v>
      </c>
      <c r="K33" s="26" t="s">
        <v>150</v>
      </c>
    </row>
    <row r="34" customFormat="false" ht="15" hidden="false" customHeight="false" outlineLevel="0" collapsed="false">
      <c r="A34" s="31" t="s">
        <v>156</v>
      </c>
      <c r="B34" s="32" t="s">
        <v>125</v>
      </c>
      <c r="C34" s="20" t="n">
        <v>30</v>
      </c>
      <c r="D34" s="33" t="n">
        <f aca="false">C34*INDEX($E$6:$E$7,MATCH(B34,$A$6:$A$7,0))</f>
        <v>48.0109274145671</v>
      </c>
      <c r="E34" s="33" t="n">
        <f aca="false">C34*INDEX($F$6:$F$7,MATCH(B34,$A$6:$A$7,0))</f>
        <v>55.2125665267522</v>
      </c>
      <c r="F34" s="31" t="str">
        <f aca="false">IF($E34/$B$17&gt;1,"Too small",IF($D34/$B$17&lt;$B$12,"Looks &lt; half",IF($E34/$B$17&gt;$B$13,"Tight – test","OK")))</f>
        <v>Looks &lt; half</v>
      </c>
      <c r="G34" s="31" t="str">
        <f aca="false">IF($E34/$B$18&gt;1,"Too small",IF($D34/$B$18&lt;$B$12,"Looks &lt; half",IF($E34/$B$18&gt;$B$13,"Tight – test","OK")))</f>
        <v>Looks &lt; half</v>
      </c>
      <c r="H34" s="31" t="str">
        <f aca="false">IF($E34/$B$19&gt;1,"Too small",IF($D34/$B$19&lt;$B$12,"Looks &lt; half",IF($E34/$B$19&gt;$B$13,"Tight – test","OK")))</f>
        <v>Looks &lt; half</v>
      </c>
      <c r="I34" s="31" t="str">
        <f aca="false">IF($E34/$B$20&gt;1,"Too small",IF($D34/$B$20&lt;$B$12,"Looks &lt; half",IF($E34/$B$20&gt;$B$13,"Tight – test","OK")))</f>
        <v>Looks &lt; half</v>
      </c>
      <c r="J34" s="31" t="str">
        <f aca="false">IF($E34/$B$21&gt;1,"Too small",IF($D34/$B$21&lt;$B$12,"Looks &lt; half",IF($E34/$B$21&gt;$B$13,"Tight – test","OK")))</f>
        <v>Looks &lt; half</v>
      </c>
      <c r="K34" s="31" t="str">
        <f aca="false">IF($E34/$B$22&gt;1,"Too small",IF($D34/$B$22&lt;$B$12,"Looks &lt; half",IF($E34/$B$22&gt;$B$13,"Tight – test","OK")))</f>
        <v>Looks &lt; half</v>
      </c>
    </row>
    <row r="35" customFormat="false" ht="15" hidden="false" customHeight="false" outlineLevel="0" collapsed="false">
      <c r="A35" s="31" t="s">
        <v>157</v>
      </c>
      <c r="B35" s="32" t="s">
        <v>126</v>
      </c>
      <c r="C35" s="20" t="n">
        <v>60</v>
      </c>
      <c r="D35" s="33" t="n">
        <f aca="false">C35*INDEX($E$6:$E$7,MATCH(B35,$A$6:$A$7,0))</f>
        <v>127.529710306542</v>
      </c>
      <c r="E35" s="33" t="n">
        <f aca="false">C35*INDEX($F$6:$F$7,MATCH(B35,$A$6:$A$7,0))</f>
        <v>146.659166852524</v>
      </c>
      <c r="F35" s="31" t="str">
        <f aca="false">IF($E35/$B$17&gt;1,"Too small",IF($D35/$B$17&lt;$B$12,"Looks &lt; half",IF($E35/$B$17&gt;$B$13,"Tight – test","OK")))</f>
        <v>Too small</v>
      </c>
      <c r="G35" s="31" t="str">
        <f aca="false">IF($E35/$B$18&gt;1,"Too small",IF($D35/$B$18&lt;$B$12,"Looks &lt; half",IF($E35/$B$18&gt;$B$13,"Tight – test","OK")))</f>
        <v>OK</v>
      </c>
      <c r="H35" s="31" t="str">
        <f aca="false">IF($E35/$B$19&gt;1,"Too small",IF($D35/$B$19&lt;$B$12,"Looks &lt; half",IF($E35/$B$19&gt;$B$13,"Tight – test","OK")))</f>
        <v>OK</v>
      </c>
      <c r="I35" s="31" t="str">
        <f aca="false">IF($E35/$B$20&gt;1,"Too small",IF($D35/$B$20&lt;$B$12,"Looks &lt; half",IF($E35/$B$20&gt;$B$13,"Tight – test","OK")))</f>
        <v>OK</v>
      </c>
      <c r="J35" s="31" t="str">
        <f aca="false">IF($E35/$B$21&gt;1,"Too small",IF($D35/$B$21&lt;$B$12,"Looks &lt; half",IF($E35/$B$21&gt;$B$13,"Tight – test","OK")))</f>
        <v>OK</v>
      </c>
      <c r="K35" s="31" t="str">
        <f aca="false">IF($E35/$B$22&gt;1,"Too small",IF($D35/$B$22&lt;$B$12,"Looks &lt; half",IF($E35/$B$22&gt;$B$13,"Tight – test","OK")))</f>
        <v>Looks &lt; half</v>
      </c>
    </row>
    <row r="36" customFormat="false" ht="15" hidden="false" customHeight="false" outlineLevel="0" collapsed="false">
      <c r="A36" s="31" t="s">
        <v>158</v>
      </c>
      <c r="B36" s="32" t="s">
        <v>125</v>
      </c>
      <c r="C36" s="20" t="n">
        <v>60</v>
      </c>
      <c r="D36" s="33" t="n">
        <f aca="false">C36*INDEX($E$6:$E$7,MATCH(B36,$A$6:$A$7,0))</f>
        <v>96.0218548291342</v>
      </c>
      <c r="E36" s="33" t="n">
        <f aca="false">C36*INDEX($F$6:$F$7,MATCH(B36,$A$6:$A$7,0))</f>
        <v>110.425133053504</v>
      </c>
      <c r="F36" s="31" t="str">
        <f aca="false">IF($E36/$B$17&gt;1,"Too small",IF($D36/$B$17&lt;$B$12,"Looks &lt; half",IF($E36/$B$17&gt;$B$13,"Tight – test","OK")))</f>
        <v>Tight – test</v>
      </c>
      <c r="G36" s="31" t="str">
        <f aca="false">IF($E36/$B$18&gt;1,"Too small",IF($D36/$B$18&lt;$B$12,"Looks &lt; half",IF($E36/$B$18&gt;$B$13,"Tight – test","OK")))</f>
        <v>OK</v>
      </c>
      <c r="H36" s="31" t="str">
        <f aca="false">IF($E36/$B$19&gt;1,"Too small",IF($D36/$B$19&lt;$B$12,"Looks &lt; half",IF($E36/$B$19&gt;$B$13,"Tight – test","OK")))</f>
        <v>OK</v>
      </c>
      <c r="I36" s="31" t="str">
        <f aca="false">IF($E36/$B$20&gt;1,"Too small",IF($D36/$B$20&lt;$B$12,"Looks &lt; half",IF($E36/$B$20&gt;$B$13,"Tight – test","OK")))</f>
        <v>Looks &lt; half</v>
      </c>
      <c r="J36" s="31" t="str">
        <f aca="false">IF($E36/$B$21&gt;1,"Too small",IF($D36/$B$21&lt;$B$12,"Looks &lt; half",IF($E36/$B$21&gt;$B$13,"Tight – test","OK")))</f>
        <v>Looks &lt; half</v>
      </c>
      <c r="K36" s="31" t="str">
        <f aca="false">IF($E36/$B$22&gt;1,"Too small",IF($D36/$B$22&lt;$B$12,"Looks &lt; half",IF($E36/$B$22&gt;$B$13,"Tight – test","OK")))</f>
        <v>Looks &lt; half</v>
      </c>
    </row>
    <row r="37" customFormat="false" ht="15" hidden="false" customHeight="false" outlineLevel="0" collapsed="false">
      <c r="A37" s="31" t="s">
        <v>159</v>
      </c>
      <c r="B37" s="32" t="s">
        <v>126</v>
      </c>
      <c r="C37" s="20" t="n">
        <v>90</v>
      </c>
      <c r="D37" s="33" t="n">
        <f aca="false">C37*INDEX($E$6:$E$7,MATCH(B37,$A$6:$A$7,0))</f>
        <v>191.294565459813</v>
      </c>
      <c r="E37" s="33" t="n">
        <f aca="false">C37*INDEX($F$6:$F$7,MATCH(B37,$A$6:$A$7,0))</f>
        <v>219.988750278785</v>
      </c>
      <c r="F37" s="31" t="str">
        <f aca="false">IF($E37/$B$17&gt;1,"Too small",IF($D37/$B$17&lt;$B$12,"Looks &lt; half",IF($E37/$B$17&gt;$B$13,"Tight – test","OK")))</f>
        <v>Too small</v>
      </c>
      <c r="G37" s="31" t="str">
        <f aca="false">IF($E37/$B$18&gt;1,"Too small",IF($D37/$B$18&lt;$B$12,"Looks &lt; half",IF($E37/$B$18&gt;$B$13,"Tight – test","OK")))</f>
        <v>Too small</v>
      </c>
      <c r="H37" s="31" t="str">
        <f aca="false">IF($E37/$B$19&gt;1,"Too small",IF($D37/$B$19&lt;$B$12,"Looks &lt; half",IF($E37/$B$19&gt;$B$13,"Tight – test","OK")))</f>
        <v>Too small</v>
      </c>
      <c r="I37" s="31" t="str">
        <f aca="false">IF($E37/$B$20&gt;1,"Too small",IF($D37/$B$20&lt;$B$12,"Looks &lt; half",IF($E37/$B$20&gt;$B$13,"Tight – test","OK")))</f>
        <v>Tight – test</v>
      </c>
      <c r="J37" s="31" t="str">
        <f aca="false">IF($E37/$B$21&gt;1,"Too small",IF($D37/$B$21&lt;$B$12,"Looks &lt; half",IF($E37/$B$21&gt;$B$13,"Tight – test","OK")))</f>
        <v>OK</v>
      </c>
      <c r="K37" s="31" t="str">
        <f aca="false">IF($E37/$B$22&gt;1,"Too small",IF($D37/$B$22&lt;$B$12,"Looks &lt; half",IF($E37/$B$22&gt;$B$13,"Tight – test","OK")))</f>
        <v>OK</v>
      </c>
    </row>
    <row r="38" customFormat="false" ht="15" hidden="false" customHeight="false" outlineLevel="0" collapsed="false">
      <c r="A38" s="31" t="s">
        <v>160</v>
      </c>
      <c r="B38" s="32" t="s">
        <v>125</v>
      </c>
      <c r="C38" s="20" t="n">
        <v>90</v>
      </c>
      <c r="D38" s="33" t="n">
        <f aca="false">C38*INDEX($E$6:$E$7,MATCH(B38,$A$6:$A$7,0))</f>
        <v>144.032782243701</v>
      </c>
      <c r="E38" s="33" t="n">
        <f aca="false">C38*INDEX($F$6:$F$7,MATCH(B38,$A$6:$A$7,0))</f>
        <v>165.637699580256</v>
      </c>
      <c r="F38" s="31" t="str">
        <f aca="false">IF($E38/$B$17&gt;1,"Too small",IF($D38/$B$17&lt;$B$12,"Looks &lt; half",IF($E38/$B$17&gt;$B$13,"Tight – test","OK")))</f>
        <v>Too small</v>
      </c>
      <c r="G38" s="31" t="str">
        <f aca="false">IF($E38/$B$18&gt;1,"Too small",IF($D38/$B$18&lt;$B$12,"Looks &lt; half",IF($E38/$B$18&gt;$B$13,"Tight – test","OK")))</f>
        <v>Tight – test</v>
      </c>
      <c r="H38" s="31" t="str">
        <f aca="false">IF($E38/$B$19&gt;1,"Too small",IF($D38/$B$19&lt;$B$12,"Looks &lt; half",IF($E38/$B$19&gt;$B$13,"Tight – test","OK")))</f>
        <v>OK</v>
      </c>
      <c r="I38" s="31" t="str">
        <f aca="false">IF($E38/$B$20&gt;1,"Too small",IF($D38/$B$20&lt;$B$12,"Looks &lt; half",IF($E38/$B$20&gt;$B$13,"Tight – test","OK")))</f>
        <v>OK</v>
      </c>
      <c r="J38" s="31" t="str">
        <f aca="false">IF($E38/$B$21&gt;1,"Too small",IF($D38/$B$21&lt;$B$12,"Looks &lt; half",IF($E38/$B$21&gt;$B$13,"Tight – test","OK")))</f>
        <v>OK</v>
      </c>
      <c r="K38" s="31" t="str">
        <f aca="false">IF($E38/$B$22&gt;1,"Too small",IF($D38/$B$22&lt;$B$12,"Looks &lt; half",IF($E38/$B$22&gt;$B$13,"Tight – test","OK")))</f>
        <v>OK</v>
      </c>
    </row>
    <row r="40" customFormat="false" ht="15" hidden="false" customHeight="false" outlineLevel="0" collapsed="false">
      <c r="A40" s="4" t="s">
        <v>162</v>
      </c>
    </row>
    <row r="41" customFormat="false" ht="15" hidden="false" customHeight="false" outlineLevel="0" collapsed="false">
      <c r="A41" s="17" t="s">
        <v>163</v>
      </c>
    </row>
    <row r="42" customFormat="false" ht="15" hidden="false" customHeight="false" outlineLevel="0" collapsed="false">
      <c r="A42" s="17" t="s">
        <v>164</v>
      </c>
    </row>
    <row r="43" customFormat="false" ht="15" hidden="false" customHeight="false" outlineLevel="0" collapsed="false">
      <c r="A43" s="17" t="s">
        <v>165</v>
      </c>
    </row>
    <row r="44" customFormat="false" ht="15" hidden="false" customHeight="false" outlineLevel="0" collapsed="false">
      <c r="A44" s="17" t="s">
        <v>166</v>
      </c>
    </row>
    <row r="45" customFormat="false" ht="15" hidden="false" customHeight="false" outlineLevel="0" collapsed="false">
      <c r="A45" s="17" t="s">
        <v>167</v>
      </c>
    </row>
    <row r="46" customFormat="false" ht="15" hidden="false" customHeight="false" outlineLevel="0" collapsed="false">
      <c r="A46" s="17" t="s">
        <v>168</v>
      </c>
    </row>
  </sheetData>
  <conditionalFormatting sqref="F26:K30">
    <cfRule type="cellIs" priority="2" operator="lessThan" aboveAverage="0" equalAverage="0" bottom="0" percent="0" rank="0" text="" dxfId="1">
      <formula>$B$12</formula>
    </cfRule>
    <cfRule type="cellIs" priority="3" operator="greaterThanOrEqual" aboveAverage="0" equalAverage="0" bottom="0" percent="0" rank="0" text="" dxfId="0">
      <formula>$B$12</formula>
    </cfRule>
  </conditionalFormatting>
  <conditionalFormatting sqref="F34:K38">
    <cfRule type="expression" priority="4" aboveAverage="0" equalAverage="0" bottom="0" percent="0" rank="0" text="" dxfId="0">
      <formula>F34="OK"</formula>
    </cfRule>
    <cfRule type="expression" priority="5" aboveAverage="0" equalAverage="0" bottom="0" percent="0" rank="0" text="" dxfId="2">
      <formula>F34="Tight – test"</formula>
    </cfRule>
    <cfRule type="expression" priority="6" aboveAverage="0" equalAverage="0" bottom="0" percent="0" rank="0" text="" dxfId="1">
      <formula>OR(F34="Too small",F34="Looks &lt; half")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3" min="3" style="0" width="22"/>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30"/>
    <col collapsed="false" customWidth="true" hidden="false" outlineLevel="0" max="11" min="11" style="0" width="9"/>
    <col collapsed="false" customWidth="true" hidden="false" outlineLevel="0" max="12" min="12" style="0" width="8"/>
    <col collapsed="false" customWidth="true" hidden="false" outlineLevel="0" max="14" min="13" style="0" width="11"/>
    <col collapsed="false" customWidth="true" hidden="false" outlineLevel="0" max="15" min="15" style="0" width="12"/>
    <col collapsed="false" customWidth="true" hidden="false" outlineLevel="0" max="17" min="16" style="0" width="11"/>
    <col collapsed="false" customWidth="true" hidden="false" outlineLevel="0" max="20" min="18" style="0" width="12"/>
    <col collapsed="false" customWidth="true" hidden="false" outlineLevel="0" max="21" min="21" style="0" width="11"/>
    <col collapsed="false" customWidth="true" hidden="false" outlineLevel="0" max="22" min="22" style="0" width="34"/>
  </cols>
  <sheetData>
    <row r="1" customFormat="false" ht="17.35" hidden="false" customHeight="false" outlineLevel="0" collapsed="false">
      <c r="A1" s="1" t="s">
        <v>169</v>
      </c>
    </row>
    <row r="2" customFormat="false" ht="15" hidden="false" customHeight="false" outlineLevel="0" collapsed="false">
      <c r="A2" s="2" t="s">
        <v>170</v>
      </c>
    </row>
    <row r="4" customFormat="false" ht="15" hidden="false" customHeight="false" outlineLevel="0" collapsed="false">
      <c r="A4" s="6" t="s">
        <v>171</v>
      </c>
      <c r="B4" s="6"/>
      <c r="C4" s="6"/>
      <c r="D4" s="6"/>
      <c r="E4" s="6"/>
      <c r="F4" s="6"/>
      <c r="G4" s="6"/>
      <c r="H4" s="6"/>
      <c r="I4" s="6"/>
      <c r="J4" s="6"/>
      <c r="K4" s="6"/>
      <c r="L4" s="6"/>
      <c r="M4" s="6"/>
      <c r="N4" s="6"/>
      <c r="O4" s="6"/>
      <c r="P4" s="6"/>
      <c r="Q4" s="6"/>
      <c r="R4" s="6"/>
      <c r="S4" s="6"/>
      <c r="T4" s="6"/>
      <c r="U4" s="6"/>
      <c r="V4" s="6"/>
    </row>
    <row r="5" customFormat="false" ht="30" hidden="false" customHeight="true" outlineLevel="0" collapsed="false">
      <c r="A5" s="35" t="s">
        <v>172</v>
      </c>
      <c r="B5" s="35"/>
      <c r="C5" s="35"/>
      <c r="D5" s="35"/>
      <c r="E5" s="35"/>
      <c r="F5" s="35"/>
      <c r="G5" s="35"/>
      <c r="H5" s="35"/>
      <c r="I5" s="35"/>
      <c r="J5" s="35"/>
      <c r="K5" s="35"/>
      <c r="L5" s="35"/>
      <c r="M5" s="35"/>
      <c r="N5" s="35"/>
      <c r="O5" s="35"/>
      <c r="P5" s="35"/>
      <c r="Q5" s="35"/>
      <c r="R5" s="35"/>
      <c r="S5" s="35"/>
      <c r="T5" s="35"/>
      <c r="U5" s="35"/>
      <c r="V5" s="35"/>
    </row>
    <row r="6" customFormat="false" ht="54" hidden="false" customHeight="true" outlineLevel="0" collapsed="false">
      <c r="A6" s="7" t="s">
        <v>173</v>
      </c>
      <c r="B6" s="7" t="s">
        <v>174</v>
      </c>
      <c r="C6" s="7" t="s">
        <v>175</v>
      </c>
      <c r="D6" s="7" t="s">
        <v>176</v>
      </c>
      <c r="E6" s="7" t="s">
        <v>177</v>
      </c>
      <c r="F6" s="7" t="s">
        <v>178</v>
      </c>
      <c r="G6" s="7" t="s">
        <v>179</v>
      </c>
      <c r="H6" s="7" t="s">
        <v>180</v>
      </c>
      <c r="I6" s="7" t="s">
        <v>181</v>
      </c>
      <c r="J6" s="7" t="s">
        <v>182</v>
      </c>
      <c r="K6" s="7" t="s">
        <v>183</v>
      </c>
      <c r="L6" s="7" t="s">
        <v>184</v>
      </c>
      <c r="M6" s="7" t="s">
        <v>185</v>
      </c>
      <c r="N6" s="7" t="s">
        <v>186</v>
      </c>
      <c r="O6" s="7" t="s">
        <v>187</v>
      </c>
      <c r="P6" s="7" t="s">
        <v>188</v>
      </c>
      <c r="Q6" s="7" t="s">
        <v>189</v>
      </c>
      <c r="R6" s="7" t="s">
        <v>190</v>
      </c>
      <c r="S6" s="7" t="s">
        <v>191</v>
      </c>
      <c r="T6" s="7" t="s">
        <v>192</v>
      </c>
      <c r="U6" s="7" t="s">
        <v>193</v>
      </c>
      <c r="V6" s="7" t="s">
        <v>194</v>
      </c>
    </row>
    <row r="7" customFormat="false" ht="23.85" hidden="false" customHeight="false" outlineLevel="0" collapsed="false">
      <c r="A7" s="31" t="s">
        <v>195</v>
      </c>
      <c r="B7" s="13" t="s">
        <v>139</v>
      </c>
      <c r="C7" s="9" t="s">
        <v>196</v>
      </c>
      <c r="D7" s="31" t="s">
        <v>140</v>
      </c>
      <c r="E7" s="36" t="n">
        <f aca="false">Inputs!$B$5</f>
        <v>2000</v>
      </c>
      <c r="F7" s="37" t="s">
        <v>197</v>
      </c>
      <c r="G7" s="38" t="n">
        <v>11.45</v>
      </c>
      <c r="H7" s="20" t="n">
        <v>24</v>
      </c>
      <c r="I7" s="28" t="n">
        <f aca="false">G7/H7</f>
        <v>0.477083333333333</v>
      </c>
      <c r="J7" s="9" t="s">
        <v>198</v>
      </c>
      <c r="K7" s="39" t="n">
        <v>0.14</v>
      </c>
      <c r="L7" s="29" t="n">
        <f aca="false">IF(F7="USD",Inputs!$B$7,1)</f>
        <v>1.38</v>
      </c>
      <c r="M7" s="23" t="n">
        <f aca="false">(I7+K7)*L7*(1+Inputs!$B$29)</f>
        <v>0.851575</v>
      </c>
      <c r="N7" s="23" t="n">
        <v>0</v>
      </c>
      <c r="O7" s="23" t="n">
        <f aca="false">$O$11/SUM($E$7:$E$9)</f>
        <v>0.279</v>
      </c>
      <c r="P7" s="40" t="n">
        <f aca="false">M7+N7+O7</f>
        <v>1.130575</v>
      </c>
      <c r="Q7" s="41" t="n">
        <f aca="false">P7*E7</f>
        <v>2261.15</v>
      </c>
      <c r="R7" s="23" t="n">
        <f aca="false">M7*Inputs!$B$30</f>
        <v>0.4257875</v>
      </c>
      <c r="S7" s="40" t="n">
        <f aca="false">P7+R7</f>
        <v>1.5563625</v>
      </c>
      <c r="T7" s="41" t="n">
        <f aca="false">S7*E7</f>
        <v>3112.725</v>
      </c>
      <c r="U7" s="23" t="n">
        <f aca="false">Inputs!$B$12-P7</f>
        <v>2.309425</v>
      </c>
      <c r="V7" s="42" t="s">
        <v>199</v>
      </c>
    </row>
    <row r="8" customFormat="false" ht="22.35" hidden="false" customHeight="false" outlineLevel="0" collapsed="false">
      <c r="A8" s="31" t="s">
        <v>200</v>
      </c>
      <c r="B8" s="13" t="s">
        <v>142</v>
      </c>
      <c r="C8" s="9" t="s">
        <v>201</v>
      </c>
      <c r="D8" s="31" t="s">
        <v>143</v>
      </c>
      <c r="E8" s="36" t="n">
        <f aca="false">Inputs!$B$5</f>
        <v>2000</v>
      </c>
      <c r="F8" s="37" t="s">
        <v>197</v>
      </c>
      <c r="G8" s="38" t="n">
        <v>6.07</v>
      </c>
      <c r="H8" s="20" t="n">
        <v>12</v>
      </c>
      <c r="I8" s="28" t="n">
        <f aca="false">G8/H8</f>
        <v>0.505833333333333</v>
      </c>
      <c r="J8" s="9" t="s">
        <v>202</v>
      </c>
      <c r="K8" s="39" t="n">
        <v>0.11</v>
      </c>
      <c r="L8" s="29" t="n">
        <f aca="false">IF(F8="USD",Inputs!$B$7,1)</f>
        <v>1.38</v>
      </c>
      <c r="M8" s="23" t="n">
        <f aca="false">(I8+K8)*L8*(1+Inputs!$B$29)</f>
        <v>0.84985</v>
      </c>
      <c r="N8" s="23" t="n">
        <v>0</v>
      </c>
      <c r="O8" s="23" t="n">
        <f aca="false">$O$11/SUM($E$7:$E$9)</f>
        <v>0.279</v>
      </c>
      <c r="P8" s="40" t="n">
        <f aca="false">M8+N8+O8</f>
        <v>1.12885</v>
      </c>
      <c r="Q8" s="41" t="n">
        <f aca="false">P8*E8</f>
        <v>2257.7</v>
      </c>
      <c r="R8" s="23" t="n">
        <f aca="false">M8*Inputs!$B$30</f>
        <v>0.424925</v>
      </c>
      <c r="S8" s="40" t="n">
        <f aca="false">P8+R8</f>
        <v>1.553775</v>
      </c>
      <c r="T8" s="41" t="n">
        <f aca="false">S8*E8</f>
        <v>3107.55</v>
      </c>
      <c r="U8" s="23" t="n">
        <f aca="false">Inputs!$B$12-P8</f>
        <v>2.31115</v>
      </c>
      <c r="V8" s="42" t="s">
        <v>199</v>
      </c>
    </row>
    <row r="9" customFormat="false" ht="35.05" hidden="false" customHeight="false" outlineLevel="0" collapsed="false">
      <c r="A9" s="31" t="s">
        <v>203</v>
      </c>
      <c r="B9" s="13" t="s">
        <v>150</v>
      </c>
      <c r="C9" s="9" t="s">
        <v>204</v>
      </c>
      <c r="D9" s="31" t="s">
        <v>147</v>
      </c>
      <c r="E9" s="36" t="n">
        <f aca="false">Inputs!$B$5</f>
        <v>2000</v>
      </c>
      <c r="F9" s="37" t="s">
        <v>197</v>
      </c>
      <c r="G9" s="38" t="n">
        <v>5.24</v>
      </c>
      <c r="H9" s="20" t="n">
        <v>12</v>
      </c>
      <c r="I9" s="28" t="n">
        <f aca="false">G9/H9</f>
        <v>0.436666666666667</v>
      </c>
      <c r="J9" s="9" t="s">
        <v>205</v>
      </c>
      <c r="K9" s="39" t="n">
        <v>0.15</v>
      </c>
      <c r="L9" s="29" t="n">
        <f aca="false">IF(F9="USD",Inputs!$B$7,1)</f>
        <v>1.38</v>
      </c>
      <c r="M9" s="23" t="n">
        <f aca="false">(I9+K9)*L9*(1+Inputs!$B$29)</f>
        <v>0.8096</v>
      </c>
      <c r="N9" s="23" t="n">
        <v>0</v>
      </c>
      <c r="O9" s="23" t="n">
        <f aca="false">$O$11/SUM($E$7:$E$9)</f>
        <v>0.279</v>
      </c>
      <c r="P9" s="40" t="n">
        <f aca="false">M9+N9+O9</f>
        <v>1.0886</v>
      </c>
      <c r="Q9" s="41" t="n">
        <f aca="false">P9*E9</f>
        <v>2177.2</v>
      </c>
      <c r="R9" s="23" t="n">
        <f aca="false">M9*Inputs!$B$30</f>
        <v>0.4048</v>
      </c>
      <c r="S9" s="40" t="n">
        <f aca="false">P9+R9</f>
        <v>1.4934</v>
      </c>
      <c r="T9" s="41" t="n">
        <f aca="false">S9*E9</f>
        <v>2986.8</v>
      </c>
      <c r="U9" s="23" t="n">
        <f aca="false">Inputs!$B$12-P9</f>
        <v>2.3514</v>
      </c>
      <c r="V9" s="42" t="s">
        <v>206</v>
      </c>
    </row>
    <row r="10" customFormat="false" ht="15" hidden="false" customHeight="false" outlineLevel="0" collapsed="false">
      <c r="A10" s="43" t="s">
        <v>207</v>
      </c>
      <c r="B10" s="44"/>
      <c r="C10" s="44"/>
      <c r="D10" s="44"/>
      <c r="E10" s="45" t="n">
        <f aca="false">SUM(E7:E9)</f>
        <v>6000</v>
      </c>
      <c r="F10" s="44"/>
      <c r="G10" s="44"/>
      <c r="H10" s="44"/>
      <c r="I10" s="44"/>
      <c r="J10" s="44"/>
      <c r="K10" s="44"/>
      <c r="L10" s="44"/>
      <c r="M10" s="44"/>
      <c r="N10" s="44"/>
      <c r="O10" s="44"/>
      <c r="P10" s="40" t="n">
        <f aca="false">Q10/E10</f>
        <v>1.11600833333333</v>
      </c>
      <c r="Q10" s="46" t="n">
        <f aca="false">SUM(Q7:Q9)</f>
        <v>6696.05</v>
      </c>
      <c r="R10" s="44"/>
      <c r="S10" s="40" t="n">
        <f aca="false">T10/E10</f>
        <v>1.5345125</v>
      </c>
      <c r="T10" s="46" t="n">
        <f aca="false">SUM(T7:T9)</f>
        <v>9207.075</v>
      </c>
      <c r="U10" s="40" t="n">
        <f aca="false">Inputs!$B$12-P10</f>
        <v>2.32399166666667</v>
      </c>
      <c r="V10" s="44"/>
    </row>
    <row r="11" customFormat="false" ht="15" hidden="false" customHeight="false" outlineLevel="0" collapsed="false">
      <c r="A11" s="2" t="s">
        <v>208</v>
      </c>
      <c r="O11" s="41" t="n">
        <f aca="false">Inputs!$B$15*Inputs!$B$7+Inputs!$B$16</f>
        <v>1674</v>
      </c>
      <c r="P11" s="2" t="s">
        <v>209</v>
      </c>
    </row>
    <row r="13" customFormat="false" ht="15" hidden="false" customHeight="false" outlineLevel="0" collapsed="false">
      <c r="A13" s="6" t="s">
        <v>210</v>
      </c>
      <c r="B13" s="6"/>
      <c r="C13" s="6"/>
      <c r="D13" s="6"/>
      <c r="E13" s="6"/>
      <c r="F13" s="6"/>
      <c r="G13" s="6"/>
      <c r="H13" s="6"/>
      <c r="I13" s="6"/>
      <c r="J13" s="6"/>
      <c r="K13" s="6"/>
      <c r="L13" s="6"/>
      <c r="M13" s="6"/>
      <c r="N13" s="6"/>
      <c r="O13" s="6"/>
      <c r="P13" s="6"/>
      <c r="Q13" s="6"/>
      <c r="R13" s="6"/>
      <c r="S13" s="6"/>
      <c r="T13" s="6"/>
      <c r="U13" s="6"/>
      <c r="V13" s="6"/>
    </row>
    <row r="14" customFormat="false" ht="30" hidden="false" customHeight="true" outlineLevel="0" collapsed="false">
      <c r="A14" s="35" t="s">
        <v>211</v>
      </c>
      <c r="B14" s="35"/>
      <c r="C14" s="35"/>
      <c r="D14" s="35"/>
      <c r="E14" s="35"/>
      <c r="F14" s="35"/>
      <c r="G14" s="35"/>
      <c r="H14" s="35"/>
      <c r="I14" s="35"/>
      <c r="J14" s="35"/>
      <c r="K14" s="35"/>
      <c r="L14" s="35"/>
      <c r="M14" s="35"/>
      <c r="N14" s="35"/>
      <c r="O14" s="35"/>
      <c r="P14" s="35"/>
      <c r="Q14" s="35"/>
      <c r="R14" s="35"/>
      <c r="S14" s="35"/>
      <c r="T14" s="35"/>
      <c r="U14" s="35"/>
      <c r="V14" s="35"/>
    </row>
    <row r="15" customFormat="false" ht="54" hidden="false" customHeight="true" outlineLevel="0" collapsed="false">
      <c r="A15" s="7" t="s">
        <v>173</v>
      </c>
      <c r="B15" s="7" t="s">
        <v>174</v>
      </c>
      <c r="C15" s="7" t="s">
        <v>175</v>
      </c>
      <c r="D15" s="7" t="s">
        <v>176</v>
      </c>
      <c r="E15" s="7" t="s">
        <v>177</v>
      </c>
      <c r="F15" s="7" t="s">
        <v>178</v>
      </c>
      <c r="G15" s="7" t="s">
        <v>179</v>
      </c>
      <c r="H15" s="7" t="s">
        <v>180</v>
      </c>
      <c r="I15" s="7" t="s">
        <v>181</v>
      </c>
      <c r="J15" s="7" t="s">
        <v>182</v>
      </c>
      <c r="K15" s="7" t="s">
        <v>183</v>
      </c>
      <c r="L15" s="7" t="s">
        <v>184</v>
      </c>
      <c r="M15" s="7" t="s">
        <v>185</v>
      </c>
      <c r="N15" s="7" t="s">
        <v>186</v>
      </c>
      <c r="O15" s="7" t="s">
        <v>187</v>
      </c>
      <c r="P15" s="7" t="s">
        <v>188</v>
      </c>
      <c r="Q15" s="7" t="s">
        <v>189</v>
      </c>
      <c r="R15" s="7" t="s">
        <v>190</v>
      </c>
      <c r="S15" s="7" t="s">
        <v>191</v>
      </c>
      <c r="T15" s="7" t="s">
        <v>192</v>
      </c>
      <c r="U15" s="7" t="s">
        <v>193</v>
      </c>
      <c r="V15" s="7" t="s">
        <v>194</v>
      </c>
    </row>
    <row r="16" customFormat="false" ht="22.35" hidden="false" customHeight="false" outlineLevel="0" collapsed="false">
      <c r="A16" s="31" t="s">
        <v>195</v>
      </c>
      <c r="B16" s="13" t="s">
        <v>139</v>
      </c>
      <c r="C16" s="9" t="s">
        <v>212</v>
      </c>
      <c r="D16" s="31" t="s">
        <v>140</v>
      </c>
      <c r="E16" s="36" t="n">
        <f aca="false">Inputs!$B$5</f>
        <v>2000</v>
      </c>
      <c r="F16" s="37" t="s">
        <v>197</v>
      </c>
      <c r="G16" s="38" t="n">
        <v>12.15</v>
      </c>
      <c r="H16" s="20" t="n">
        <v>24</v>
      </c>
      <c r="I16" s="28" t="n">
        <f aca="false">G16/H16</f>
        <v>0.50625</v>
      </c>
      <c r="J16" s="9" t="s">
        <v>213</v>
      </c>
      <c r="K16" s="39" t="n">
        <v>0.1136</v>
      </c>
      <c r="L16" s="29" t="n">
        <f aca="false">IF(F16="USD",Inputs!$B$7,1)</f>
        <v>1.38</v>
      </c>
      <c r="M16" s="23" t="n">
        <f aca="false">(I16+K16)*L16*(1+Inputs!$B$29)</f>
        <v>0.855393</v>
      </c>
      <c r="N16" s="23" t="n">
        <v>0</v>
      </c>
      <c r="O16" s="23" t="n">
        <f aca="false">$O$20/SUM($E$16:$E$18)</f>
        <v>0.279</v>
      </c>
      <c r="P16" s="40" t="n">
        <f aca="false">M16+N16+O16</f>
        <v>1.134393</v>
      </c>
      <c r="Q16" s="41" t="n">
        <f aca="false">P16*E16</f>
        <v>2268.786</v>
      </c>
      <c r="R16" s="23" t="n">
        <f aca="false">M16*Inputs!$B$30</f>
        <v>0.4276965</v>
      </c>
      <c r="S16" s="40" t="n">
        <f aca="false">P16+R16</f>
        <v>1.5620895</v>
      </c>
      <c r="T16" s="41" t="n">
        <f aca="false">S16*E16</f>
        <v>3124.179</v>
      </c>
      <c r="U16" s="23" t="n">
        <f aca="false">Inputs!$B$12-P16</f>
        <v>2.305607</v>
      </c>
      <c r="V16" s="42" t="s">
        <v>199</v>
      </c>
    </row>
    <row r="17" customFormat="false" ht="22.35" hidden="false" customHeight="false" outlineLevel="0" collapsed="false">
      <c r="A17" s="31" t="s">
        <v>200</v>
      </c>
      <c r="B17" s="13" t="s">
        <v>142</v>
      </c>
      <c r="C17" s="9" t="s">
        <v>214</v>
      </c>
      <c r="D17" s="31" t="s">
        <v>143</v>
      </c>
      <c r="E17" s="36" t="n">
        <f aca="false">Inputs!$B$5</f>
        <v>2000</v>
      </c>
      <c r="F17" s="37" t="s">
        <v>197</v>
      </c>
      <c r="G17" s="38" t="n">
        <v>7.4</v>
      </c>
      <c r="H17" s="20" t="n">
        <v>12</v>
      </c>
      <c r="I17" s="28" t="n">
        <f aca="false">G17/H17</f>
        <v>0.616666666666667</v>
      </c>
      <c r="J17" s="9" t="s">
        <v>215</v>
      </c>
      <c r="K17" s="39" t="n">
        <v>0.1444</v>
      </c>
      <c r="L17" s="29" t="n">
        <f aca="false">IF(F17="USD",Inputs!$B$7,1)</f>
        <v>1.38</v>
      </c>
      <c r="M17" s="23" t="n">
        <f aca="false">(I17+K17)*L17*(1+Inputs!$B$29)</f>
        <v>1.050272</v>
      </c>
      <c r="N17" s="23" t="n">
        <v>0</v>
      </c>
      <c r="O17" s="23" t="n">
        <f aca="false">$O$20/SUM($E$16:$E$18)</f>
        <v>0.279</v>
      </c>
      <c r="P17" s="40" t="n">
        <f aca="false">M17+N17+O17</f>
        <v>1.329272</v>
      </c>
      <c r="Q17" s="41" t="n">
        <f aca="false">P17*E17</f>
        <v>2658.544</v>
      </c>
      <c r="R17" s="23" t="n">
        <f aca="false">M17*Inputs!$B$30</f>
        <v>0.525136</v>
      </c>
      <c r="S17" s="40" t="n">
        <f aca="false">P17+R17</f>
        <v>1.854408</v>
      </c>
      <c r="T17" s="41" t="n">
        <f aca="false">S17*E17</f>
        <v>3708.816</v>
      </c>
      <c r="U17" s="23" t="n">
        <f aca="false">Inputs!$B$12-P17</f>
        <v>2.110728</v>
      </c>
      <c r="V17" s="42" t="s">
        <v>199</v>
      </c>
    </row>
    <row r="18" customFormat="false" ht="22.35" hidden="false" customHeight="false" outlineLevel="0" collapsed="false">
      <c r="A18" s="31" t="s">
        <v>203</v>
      </c>
      <c r="B18" s="13" t="s">
        <v>150</v>
      </c>
      <c r="C18" s="9" t="s">
        <v>216</v>
      </c>
      <c r="D18" s="31" t="s">
        <v>147</v>
      </c>
      <c r="E18" s="36" t="n">
        <f aca="false">Inputs!$B$5</f>
        <v>2000</v>
      </c>
      <c r="F18" s="37" t="s">
        <v>197</v>
      </c>
      <c r="G18" s="38" t="n">
        <v>5.6</v>
      </c>
      <c r="H18" s="20" t="n">
        <v>12</v>
      </c>
      <c r="I18" s="28" t="n">
        <f aca="false">G18/H18</f>
        <v>0.466666666666667</v>
      </c>
      <c r="J18" s="9" t="s">
        <v>217</v>
      </c>
      <c r="K18" s="39" t="n">
        <v>0.22</v>
      </c>
      <c r="L18" s="29" t="n">
        <f aca="false">IF(F18="USD",Inputs!$B$7,1)</f>
        <v>1.38</v>
      </c>
      <c r="M18" s="23" t="n">
        <f aca="false">(I18+K18)*L18*(1+Inputs!$B$29)</f>
        <v>0.9476</v>
      </c>
      <c r="N18" s="23" t="n">
        <v>0</v>
      </c>
      <c r="O18" s="23" t="n">
        <f aca="false">$O$20/SUM($E$16:$E$18)</f>
        <v>0.279</v>
      </c>
      <c r="P18" s="40" t="n">
        <f aca="false">M18+N18+O18</f>
        <v>1.2266</v>
      </c>
      <c r="Q18" s="41" t="n">
        <f aca="false">P18*E18</f>
        <v>2453.2</v>
      </c>
      <c r="R18" s="23" t="n">
        <f aca="false">M18*Inputs!$B$30</f>
        <v>0.4738</v>
      </c>
      <c r="S18" s="40" t="n">
        <f aca="false">P18+R18</f>
        <v>1.7004</v>
      </c>
      <c r="T18" s="41" t="n">
        <f aca="false">S18*E18</f>
        <v>3400.8</v>
      </c>
      <c r="U18" s="23" t="n">
        <f aca="false">Inputs!$B$12-P18</f>
        <v>2.2134</v>
      </c>
      <c r="V18" s="42" t="s">
        <v>199</v>
      </c>
    </row>
    <row r="19" customFormat="false" ht="15" hidden="false" customHeight="false" outlineLevel="0" collapsed="false">
      <c r="A19" s="43" t="s">
        <v>207</v>
      </c>
      <c r="B19" s="44"/>
      <c r="C19" s="44"/>
      <c r="D19" s="44"/>
      <c r="E19" s="45" t="n">
        <f aca="false">SUM(E16:E18)</f>
        <v>6000</v>
      </c>
      <c r="F19" s="44"/>
      <c r="G19" s="44"/>
      <c r="H19" s="44"/>
      <c r="I19" s="44"/>
      <c r="J19" s="44"/>
      <c r="K19" s="44"/>
      <c r="L19" s="44"/>
      <c r="M19" s="44"/>
      <c r="N19" s="44"/>
      <c r="O19" s="44"/>
      <c r="P19" s="40" t="n">
        <f aca="false">Q19/E19</f>
        <v>1.23008833333333</v>
      </c>
      <c r="Q19" s="46" t="n">
        <f aca="false">SUM(Q16:Q18)</f>
        <v>7380.53</v>
      </c>
      <c r="R19" s="44"/>
      <c r="S19" s="40" t="n">
        <f aca="false">T19/E19</f>
        <v>1.7056325</v>
      </c>
      <c r="T19" s="46" t="n">
        <f aca="false">SUM(T16:T18)</f>
        <v>10233.795</v>
      </c>
      <c r="U19" s="40" t="n">
        <f aca="false">Inputs!$B$12-P19</f>
        <v>2.20991166666667</v>
      </c>
      <c r="V19" s="44"/>
    </row>
    <row r="20" customFormat="false" ht="15" hidden="false" customHeight="false" outlineLevel="0" collapsed="false">
      <c r="A20" s="2" t="s">
        <v>208</v>
      </c>
      <c r="O20" s="41" t="n">
        <f aca="false">Inputs!$B$15*Inputs!$B$7+Inputs!$B$16</f>
        <v>1674</v>
      </c>
      <c r="P20" s="2" t="s">
        <v>209</v>
      </c>
    </row>
    <row r="22" customFormat="false" ht="15" hidden="false" customHeight="false" outlineLevel="0" collapsed="false">
      <c r="A22" s="6" t="s">
        <v>218</v>
      </c>
      <c r="B22" s="6"/>
      <c r="C22" s="6"/>
      <c r="D22" s="6"/>
      <c r="E22" s="6"/>
      <c r="F22" s="6"/>
      <c r="G22" s="6"/>
      <c r="H22" s="6"/>
      <c r="I22" s="6"/>
      <c r="J22" s="6"/>
      <c r="K22" s="6"/>
      <c r="L22" s="6"/>
      <c r="M22" s="6"/>
      <c r="N22" s="6"/>
      <c r="O22" s="6"/>
      <c r="P22" s="6"/>
      <c r="Q22" s="6"/>
      <c r="R22" s="6"/>
      <c r="S22" s="6"/>
      <c r="T22" s="6"/>
      <c r="U22" s="6"/>
      <c r="V22" s="6"/>
    </row>
    <row r="23" customFormat="false" ht="30" hidden="false" customHeight="true" outlineLevel="0" collapsed="false">
      <c r="A23" s="35" t="s">
        <v>219</v>
      </c>
      <c r="B23" s="35"/>
      <c r="C23" s="35"/>
      <c r="D23" s="35"/>
      <c r="E23" s="35"/>
      <c r="F23" s="35"/>
      <c r="G23" s="35"/>
      <c r="H23" s="35"/>
      <c r="I23" s="35"/>
      <c r="J23" s="35"/>
      <c r="K23" s="35"/>
      <c r="L23" s="35"/>
      <c r="M23" s="35"/>
      <c r="N23" s="35"/>
      <c r="O23" s="35"/>
      <c r="P23" s="35"/>
      <c r="Q23" s="35"/>
      <c r="R23" s="35"/>
      <c r="S23" s="35"/>
      <c r="T23" s="35"/>
      <c r="U23" s="35"/>
      <c r="V23" s="35"/>
    </row>
    <row r="24" customFormat="false" ht="54" hidden="false" customHeight="true" outlineLevel="0" collapsed="false">
      <c r="A24" s="7" t="s">
        <v>173</v>
      </c>
      <c r="B24" s="7" t="s">
        <v>174</v>
      </c>
      <c r="C24" s="7" t="s">
        <v>175</v>
      </c>
      <c r="D24" s="7" t="s">
        <v>176</v>
      </c>
      <c r="E24" s="7" t="s">
        <v>177</v>
      </c>
      <c r="F24" s="7" t="s">
        <v>178</v>
      </c>
      <c r="G24" s="7" t="s">
        <v>179</v>
      </c>
      <c r="H24" s="7" t="s">
        <v>180</v>
      </c>
      <c r="I24" s="7" t="s">
        <v>181</v>
      </c>
      <c r="J24" s="7" t="s">
        <v>182</v>
      </c>
      <c r="K24" s="7" t="s">
        <v>183</v>
      </c>
      <c r="L24" s="7" t="s">
        <v>184</v>
      </c>
      <c r="M24" s="7" t="s">
        <v>185</v>
      </c>
      <c r="N24" s="7" t="s">
        <v>186</v>
      </c>
      <c r="O24" s="7" t="s">
        <v>187</v>
      </c>
      <c r="P24" s="7" t="s">
        <v>188</v>
      </c>
      <c r="Q24" s="7" t="s">
        <v>189</v>
      </c>
      <c r="R24" s="7" t="s">
        <v>190</v>
      </c>
      <c r="S24" s="7" t="s">
        <v>191</v>
      </c>
      <c r="T24" s="7" t="s">
        <v>192</v>
      </c>
      <c r="U24" s="7" t="s">
        <v>193</v>
      </c>
      <c r="V24" s="7" t="s">
        <v>194</v>
      </c>
    </row>
    <row r="25" customFormat="false" ht="35.05" hidden="false" customHeight="false" outlineLevel="0" collapsed="false">
      <c r="A25" s="31" t="s">
        <v>195</v>
      </c>
      <c r="B25" s="13" t="s">
        <v>220</v>
      </c>
      <c r="C25" s="9" t="s">
        <v>221</v>
      </c>
      <c r="D25" s="31" t="s">
        <v>222</v>
      </c>
      <c r="E25" s="36" t="n">
        <f aca="false">Inputs!$B$5</f>
        <v>2000</v>
      </c>
      <c r="F25" s="37" t="s">
        <v>197</v>
      </c>
      <c r="G25" s="47" t="s">
        <v>223</v>
      </c>
      <c r="H25" s="20"/>
      <c r="I25" s="39" t="n">
        <v>0.4</v>
      </c>
      <c r="J25" s="9" t="s">
        <v>224</v>
      </c>
      <c r="K25" s="39" t="n">
        <v>0.04</v>
      </c>
      <c r="L25" s="29" t="n">
        <f aca="false">IF(F25="USD",Inputs!$B$7,1)</f>
        <v>1.38</v>
      </c>
      <c r="M25" s="23" t="n">
        <f aca="false">(I25+K25)*L25*(1+Inputs!$B$29)</f>
        <v>0.6072</v>
      </c>
      <c r="N25" s="23" t="n">
        <v>0</v>
      </c>
      <c r="O25" s="23" t="n">
        <f aca="false">$O$29/SUM($E$25:$E$27)</f>
        <v>0.413333333333333</v>
      </c>
      <c r="P25" s="40" t="n">
        <f aca="false">M25+N25+O25</f>
        <v>1.02053333333333</v>
      </c>
      <c r="Q25" s="41" t="n">
        <f aca="false">P25*E25</f>
        <v>2041.06666666667</v>
      </c>
      <c r="R25" s="23" t="n">
        <v>0</v>
      </c>
      <c r="S25" s="40" t="n">
        <f aca="false">P25+R25</f>
        <v>1.02053333333333</v>
      </c>
      <c r="T25" s="41" t="n">
        <f aca="false">S25*E25</f>
        <v>2041.06666666667</v>
      </c>
      <c r="U25" s="23" t="n">
        <f aca="false">Inputs!$B$12-P25</f>
        <v>2.41946666666667</v>
      </c>
      <c r="V25" s="42" t="s">
        <v>225</v>
      </c>
    </row>
    <row r="26" customFormat="false" ht="32.8" hidden="false" customHeight="false" outlineLevel="0" collapsed="false">
      <c r="A26" s="31" t="s">
        <v>200</v>
      </c>
      <c r="B26" s="13" t="s">
        <v>226</v>
      </c>
      <c r="C26" s="9" t="s">
        <v>227</v>
      </c>
      <c r="D26" s="31" t="s">
        <v>228</v>
      </c>
      <c r="E26" s="36" t="n">
        <f aca="false">Inputs!$B$5</f>
        <v>2000</v>
      </c>
      <c r="F26" s="37" t="s">
        <v>197</v>
      </c>
      <c r="G26" s="47" t="s">
        <v>223</v>
      </c>
      <c r="H26" s="20"/>
      <c r="I26" s="39" t="n">
        <v>0.4</v>
      </c>
      <c r="J26" s="9" t="s">
        <v>229</v>
      </c>
      <c r="K26" s="39" t="n">
        <v>0.04</v>
      </c>
      <c r="L26" s="29" t="n">
        <f aca="false">IF(F26="USD",Inputs!$B$7,1)</f>
        <v>1.38</v>
      </c>
      <c r="M26" s="23" t="n">
        <f aca="false">(I26+K26)*L26*(1+Inputs!$B$29)</f>
        <v>0.6072</v>
      </c>
      <c r="N26" s="23" t="n">
        <v>0</v>
      </c>
      <c r="O26" s="23" t="n">
        <f aca="false">$O$29/SUM($E$25:$E$27)</f>
        <v>0.413333333333333</v>
      </c>
      <c r="P26" s="40" t="n">
        <f aca="false">M26+N26+O26</f>
        <v>1.02053333333333</v>
      </c>
      <c r="Q26" s="41" t="n">
        <f aca="false">P26*E26</f>
        <v>2041.06666666667</v>
      </c>
      <c r="R26" s="23" t="n">
        <v>0</v>
      </c>
      <c r="S26" s="40" t="n">
        <f aca="false">P26+R26</f>
        <v>1.02053333333333</v>
      </c>
      <c r="T26" s="41" t="n">
        <f aca="false">S26*E26</f>
        <v>2041.06666666667</v>
      </c>
      <c r="U26" s="23" t="n">
        <f aca="false">Inputs!$B$12-P26</f>
        <v>2.41946666666667</v>
      </c>
      <c r="V26" s="42" t="s">
        <v>230</v>
      </c>
    </row>
    <row r="27" customFormat="false" ht="32.8" hidden="false" customHeight="false" outlineLevel="0" collapsed="false">
      <c r="A27" s="31" t="s">
        <v>203</v>
      </c>
      <c r="B27" s="13" t="s">
        <v>231</v>
      </c>
      <c r="C27" s="9" t="s">
        <v>232</v>
      </c>
      <c r="D27" s="31" t="s">
        <v>147</v>
      </c>
      <c r="E27" s="36" t="n">
        <f aca="false">Inputs!$B$5</f>
        <v>2000</v>
      </c>
      <c r="F27" s="37" t="s">
        <v>197</v>
      </c>
      <c r="G27" s="47" t="s">
        <v>223</v>
      </c>
      <c r="H27" s="20"/>
      <c r="I27" s="39" t="n">
        <v>0.42</v>
      </c>
      <c r="J27" s="9" t="s">
        <v>229</v>
      </c>
      <c r="K27" s="39" t="n">
        <v>0.04</v>
      </c>
      <c r="L27" s="29" t="n">
        <f aca="false">IF(F27="USD",Inputs!$B$7,1)</f>
        <v>1.38</v>
      </c>
      <c r="M27" s="23" t="n">
        <f aca="false">(I27+K27)*L27*(1+Inputs!$B$29)</f>
        <v>0.6348</v>
      </c>
      <c r="N27" s="23" t="n">
        <v>0</v>
      </c>
      <c r="O27" s="23" t="n">
        <f aca="false">$O$29/SUM($E$25:$E$27)</f>
        <v>0.413333333333333</v>
      </c>
      <c r="P27" s="40" t="n">
        <f aca="false">M27+N27+O27</f>
        <v>1.04813333333333</v>
      </c>
      <c r="Q27" s="41" t="n">
        <f aca="false">P27*E27</f>
        <v>2096.26666666667</v>
      </c>
      <c r="R27" s="23" t="n">
        <v>0</v>
      </c>
      <c r="S27" s="40" t="n">
        <f aca="false">P27+R27</f>
        <v>1.04813333333333</v>
      </c>
      <c r="T27" s="41" t="n">
        <f aca="false">S27*E27</f>
        <v>2096.26666666667</v>
      </c>
      <c r="U27" s="23" t="n">
        <f aca="false">Inputs!$B$12-P27</f>
        <v>2.39186666666667</v>
      </c>
      <c r="V27" s="42" t="s">
        <v>233</v>
      </c>
    </row>
    <row r="28" customFormat="false" ht="15" hidden="false" customHeight="false" outlineLevel="0" collapsed="false">
      <c r="A28" s="43" t="s">
        <v>207</v>
      </c>
      <c r="B28" s="44"/>
      <c r="C28" s="44"/>
      <c r="D28" s="44"/>
      <c r="E28" s="45" t="n">
        <f aca="false">SUM(E25:E27)</f>
        <v>6000</v>
      </c>
      <c r="F28" s="44"/>
      <c r="G28" s="44"/>
      <c r="H28" s="44"/>
      <c r="I28" s="44"/>
      <c r="J28" s="44"/>
      <c r="K28" s="44"/>
      <c r="L28" s="44"/>
      <c r="M28" s="44"/>
      <c r="N28" s="44"/>
      <c r="O28" s="44"/>
      <c r="P28" s="40" t="n">
        <f aca="false">Q28/E28</f>
        <v>1.02973333333333</v>
      </c>
      <c r="Q28" s="46" t="n">
        <f aca="false">SUM(Q25:Q27)</f>
        <v>6178.4</v>
      </c>
      <c r="R28" s="44"/>
      <c r="S28" s="40" t="n">
        <f aca="false">T28/E28</f>
        <v>1.02973333333333</v>
      </c>
      <c r="T28" s="46" t="n">
        <f aca="false">SUM(T25:T27)</f>
        <v>6178.4</v>
      </c>
      <c r="U28" s="40" t="n">
        <f aca="false">Inputs!$B$12-P28</f>
        <v>2.41026666666667</v>
      </c>
      <c r="V28" s="44"/>
    </row>
    <row r="29" customFormat="false" ht="15" hidden="false" customHeight="false" outlineLevel="0" collapsed="false">
      <c r="A29" s="2" t="s">
        <v>208</v>
      </c>
      <c r="O29" s="41" t="n">
        <f aca="false">Inputs!$B$18+Inputs!$B$26</f>
        <v>2480</v>
      </c>
      <c r="P29" s="2" t="s">
        <v>234</v>
      </c>
    </row>
    <row r="31" customFormat="false" ht="15" hidden="false" customHeight="false" outlineLevel="0" collapsed="false">
      <c r="A31" s="6" t="s">
        <v>235</v>
      </c>
      <c r="B31" s="6"/>
      <c r="C31" s="6"/>
      <c r="D31" s="6"/>
      <c r="E31" s="6"/>
      <c r="F31" s="6"/>
      <c r="G31" s="6"/>
      <c r="H31" s="6"/>
      <c r="I31" s="6"/>
      <c r="J31" s="6"/>
      <c r="K31" s="6"/>
      <c r="L31" s="6"/>
      <c r="M31" s="6"/>
      <c r="N31" s="6"/>
      <c r="O31" s="6"/>
      <c r="P31" s="6"/>
      <c r="Q31" s="6"/>
      <c r="R31" s="6"/>
      <c r="S31" s="6"/>
      <c r="T31" s="6"/>
      <c r="U31" s="6"/>
      <c r="V31" s="6"/>
    </row>
    <row r="32" customFormat="false" ht="30" hidden="false" customHeight="true" outlineLevel="0" collapsed="false">
      <c r="A32" s="35" t="s">
        <v>236</v>
      </c>
      <c r="B32" s="35"/>
      <c r="C32" s="35"/>
      <c r="D32" s="35"/>
      <c r="E32" s="35"/>
      <c r="F32" s="35"/>
      <c r="G32" s="35"/>
      <c r="H32" s="35"/>
      <c r="I32" s="35"/>
      <c r="J32" s="35"/>
      <c r="K32" s="35"/>
      <c r="L32" s="35"/>
      <c r="M32" s="35"/>
      <c r="N32" s="35"/>
      <c r="O32" s="35"/>
      <c r="P32" s="35"/>
      <c r="Q32" s="35"/>
      <c r="R32" s="35"/>
      <c r="S32" s="35"/>
      <c r="T32" s="35"/>
      <c r="U32" s="35"/>
      <c r="V32" s="35"/>
    </row>
    <row r="33" customFormat="false" ht="54" hidden="false" customHeight="true" outlineLevel="0" collapsed="false">
      <c r="A33" s="7" t="s">
        <v>173</v>
      </c>
      <c r="B33" s="7" t="s">
        <v>174</v>
      </c>
      <c r="C33" s="7" t="s">
        <v>175</v>
      </c>
      <c r="D33" s="7" t="s">
        <v>176</v>
      </c>
      <c r="E33" s="7" t="s">
        <v>177</v>
      </c>
      <c r="F33" s="7" t="s">
        <v>178</v>
      </c>
      <c r="G33" s="7" t="s">
        <v>179</v>
      </c>
      <c r="H33" s="7" t="s">
        <v>180</v>
      </c>
      <c r="I33" s="7" t="s">
        <v>181</v>
      </c>
      <c r="J33" s="7" t="s">
        <v>182</v>
      </c>
      <c r="K33" s="7" t="s">
        <v>183</v>
      </c>
      <c r="L33" s="7" t="s">
        <v>184</v>
      </c>
      <c r="M33" s="7" t="s">
        <v>185</v>
      </c>
      <c r="N33" s="7" t="s">
        <v>186</v>
      </c>
      <c r="O33" s="7" t="s">
        <v>187</v>
      </c>
      <c r="P33" s="7" t="s">
        <v>188</v>
      </c>
      <c r="Q33" s="7" t="s">
        <v>189</v>
      </c>
      <c r="R33" s="7" t="s">
        <v>190</v>
      </c>
      <c r="S33" s="7" t="s">
        <v>191</v>
      </c>
      <c r="T33" s="7" t="s">
        <v>192</v>
      </c>
      <c r="U33" s="7" t="s">
        <v>193</v>
      </c>
      <c r="V33" s="7" t="s">
        <v>194</v>
      </c>
    </row>
    <row r="34" customFormat="false" ht="22.35" hidden="false" customHeight="false" outlineLevel="0" collapsed="false">
      <c r="A34" s="31" t="s">
        <v>195</v>
      </c>
      <c r="B34" s="13" t="s">
        <v>139</v>
      </c>
      <c r="C34" s="9" t="s">
        <v>237</v>
      </c>
      <c r="D34" s="31" t="s">
        <v>140</v>
      </c>
      <c r="E34" s="36" t="n">
        <f aca="false">Inputs!$B$5</f>
        <v>2000</v>
      </c>
      <c r="F34" s="37" t="s">
        <v>238</v>
      </c>
      <c r="G34" s="47" t="s">
        <v>223</v>
      </c>
      <c r="H34" s="20" t="n">
        <v>24</v>
      </c>
      <c r="I34" s="39" t="n">
        <v>0.96</v>
      </c>
      <c r="J34" s="9" t="s">
        <v>239</v>
      </c>
      <c r="K34" s="39" t="n">
        <v>0.25</v>
      </c>
      <c r="L34" s="29" t="n">
        <f aca="false">IF(F34="USD",Inputs!$B$7,1)</f>
        <v>1</v>
      </c>
      <c r="M34" s="23" t="n">
        <f aca="false">(I34+K34)*L34*(1+Inputs!$B$29)</f>
        <v>1.21</v>
      </c>
      <c r="N34" s="23" t="n">
        <v>0</v>
      </c>
      <c r="O34" s="23" t="n">
        <f aca="false">$O$38/SUM($E$34:$E$36)</f>
        <v>0.0666666666666667</v>
      </c>
      <c r="P34" s="40" t="n">
        <f aca="false">M34+N34+O34</f>
        <v>1.27666666666667</v>
      </c>
      <c r="Q34" s="41" t="n">
        <f aca="false">P34*E34</f>
        <v>2553.33333333333</v>
      </c>
      <c r="R34" s="23" t="n">
        <v>0</v>
      </c>
      <c r="S34" s="40" t="n">
        <f aca="false">P34+R34</f>
        <v>1.27666666666667</v>
      </c>
      <c r="T34" s="41" t="n">
        <f aca="false">S34*E34</f>
        <v>2553.33333333333</v>
      </c>
      <c r="U34" s="23" t="n">
        <f aca="false">Inputs!$B$12-P34</f>
        <v>2.16333333333333</v>
      </c>
      <c r="V34" s="42" t="s">
        <v>240</v>
      </c>
    </row>
    <row r="35" customFormat="false" ht="15" hidden="false" customHeight="false" outlineLevel="0" collapsed="false">
      <c r="A35" s="31" t="s">
        <v>241</v>
      </c>
      <c r="B35" s="13" t="s">
        <v>150</v>
      </c>
      <c r="C35" s="9" t="s">
        <v>242</v>
      </c>
      <c r="D35" s="31" t="s">
        <v>147</v>
      </c>
      <c r="E35" s="36" t="n">
        <f aca="false">Inputs!$B$5</f>
        <v>2000</v>
      </c>
      <c r="F35" s="37" t="s">
        <v>238</v>
      </c>
      <c r="G35" s="47" t="s">
        <v>223</v>
      </c>
      <c r="H35" s="20" t="n">
        <v>12</v>
      </c>
      <c r="I35" s="39" t="n">
        <v>0.99</v>
      </c>
      <c r="J35" s="9" t="s">
        <v>243</v>
      </c>
      <c r="K35" s="39" t="n">
        <v>0.25</v>
      </c>
      <c r="L35" s="29" t="n">
        <f aca="false">IF(F35="USD",Inputs!$B$7,1)</f>
        <v>1</v>
      </c>
      <c r="M35" s="23" t="n">
        <f aca="false">(I35+K35)*L35*(1+Inputs!$B$29)</f>
        <v>1.24</v>
      </c>
      <c r="N35" s="23" t="n">
        <v>0</v>
      </c>
      <c r="O35" s="23" t="n">
        <f aca="false">$O$38/SUM($E$34:$E$36)</f>
        <v>0.0666666666666667</v>
      </c>
      <c r="P35" s="40" t="n">
        <f aca="false">M35+N35+O35</f>
        <v>1.30666666666667</v>
      </c>
      <c r="Q35" s="41" t="n">
        <f aca="false">P35*E35</f>
        <v>2613.33333333333</v>
      </c>
      <c r="R35" s="23" t="n">
        <v>0</v>
      </c>
      <c r="S35" s="40" t="n">
        <f aca="false">P35+R35</f>
        <v>1.30666666666667</v>
      </c>
      <c r="T35" s="41" t="n">
        <f aca="false">S35*E35</f>
        <v>2613.33333333333</v>
      </c>
      <c r="U35" s="23" t="n">
        <f aca="false">Inputs!$B$12-P35</f>
        <v>2.13333333333333</v>
      </c>
      <c r="V35" s="42" t="s">
        <v>244</v>
      </c>
    </row>
    <row r="36" customFormat="false" ht="22.35" hidden="false" customHeight="false" outlineLevel="0" collapsed="false">
      <c r="A36" s="31" t="s">
        <v>203</v>
      </c>
      <c r="B36" s="13" t="s">
        <v>150</v>
      </c>
      <c r="C36" s="9" t="s">
        <v>242</v>
      </c>
      <c r="D36" s="31" t="s">
        <v>147</v>
      </c>
      <c r="E36" s="36" t="n">
        <f aca="false">Inputs!$B$5</f>
        <v>2000</v>
      </c>
      <c r="F36" s="37" t="s">
        <v>238</v>
      </c>
      <c r="G36" s="47" t="s">
        <v>223</v>
      </c>
      <c r="H36" s="20" t="n">
        <v>12</v>
      </c>
      <c r="I36" s="39" t="n">
        <v>0.99</v>
      </c>
      <c r="J36" s="9" t="s">
        <v>243</v>
      </c>
      <c r="K36" s="39" t="n">
        <v>0.25</v>
      </c>
      <c r="L36" s="29" t="n">
        <f aca="false">IF(F36="USD",Inputs!$B$7,1)</f>
        <v>1</v>
      </c>
      <c r="M36" s="23" t="n">
        <f aca="false">(I36+K36)*L36*(1+Inputs!$B$29)</f>
        <v>1.24</v>
      </c>
      <c r="N36" s="23" t="n">
        <v>0</v>
      </c>
      <c r="O36" s="23" t="n">
        <f aca="false">$O$38/SUM($E$34:$E$36)</f>
        <v>0.0666666666666667</v>
      </c>
      <c r="P36" s="40" t="n">
        <f aca="false">M36+N36+O36</f>
        <v>1.30666666666667</v>
      </c>
      <c r="Q36" s="41" t="n">
        <f aca="false">P36*E36</f>
        <v>2613.33333333333</v>
      </c>
      <c r="R36" s="23" t="n">
        <v>0</v>
      </c>
      <c r="S36" s="40" t="n">
        <f aca="false">P36+R36</f>
        <v>1.30666666666667</v>
      </c>
      <c r="T36" s="41" t="n">
        <f aca="false">S36*E36</f>
        <v>2613.33333333333</v>
      </c>
      <c r="U36" s="23" t="n">
        <f aca="false">Inputs!$B$12-P36</f>
        <v>2.13333333333333</v>
      </c>
      <c r="V36" s="42" t="s">
        <v>240</v>
      </c>
    </row>
    <row r="37" customFormat="false" ht="15" hidden="false" customHeight="false" outlineLevel="0" collapsed="false">
      <c r="A37" s="43" t="s">
        <v>207</v>
      </c>
      <c r="B37" s="44"/>
      <c r="C37" s="44"/>
      <c r="D37" s="44"/>
      <c r="E37" s="45" t="n">
        <f aca="false">SUM(E34:E36)</f>
        <v>6000</v>
      </c>
      <c r="F37" s="44"/>
      <c r="G37" s="44"/>
      <c r="H37" s="44"/>
      <c r="I37" s="44"/>
      <c r="J37" s="44"/>
      <c r="K37" s="44"/>
      <c r="L37" s="44"/>
      <c r="M37" s="44"/>
      <c r="N37" s="44"/>
      <c r="O37" s="44"/>
      <c r="P37" s="40" t="n">
        <f aca="false">Q37/E37</f>
        <v>1.29666666666667</v>
      </c>
      <c r="Q37" s="46" t="n">
        <f aca="false">SUM(Q34:Q36)</f>
        <v>7780</v>
      </c>
      <c r="R37" s="44"/>
      <c r="S37" s="40" t="n">
        <f aca="false">T37/E37</f>
        <v>1.29666666666667</v>
      </c>
      <c r="T37" s="46" t="n">
        <f aca="false">SUM(T34:T36)</f>
        <v>7780</v>
      </c>
      <c r="U37" s="40" t="n">
        <f aca="false">Inputs!$B$12-P37</f>
        <v>2.14333333333333</v>
      </c>
      <c r="V37" s="44"/>
    </row>
    <row r="38" customFormat="false" ht="15" hidden="false" customHeight="false" outlineLevel="0" collapsed="false">
      <c r="A38" s="2" t="s">
        <v>208</v>
      </c>
      <c r="O38" s="41" t="n">
        <f aca="false">Inputs!$B$17</f>
        <v>400</v>
      </c>
      <c r="P38" s="2" t="s">
        <v>245</v>
      </c>
    </row>
    <row r="40" customFormat="false" ht="15" hidden="false" customHeight="false" outlineLevel="0" collapsed="false">
      <c r="A40" s="6" t="s">
        <v>246</v>
      </c>
      <c r="B40" s="6"/>
      <c r="C40" s="6"/>
      <c r="D40" s="6"/>
      <c r="E40" s="6"/>
      <c r="F40" s="6"/>
      <c r="G40" s="6"/>
      <c r="H40" s="6"/>
      <c r="I40" s="6"/>
      <c r="J40" s="6"/>
      <c r="K40" s="6"/>
      <c r="L40" s="6"/>
      <c r="M40" s="6"/>
      <c r="N40" s="6"/>
      <c r="O40" s="6"/>
      <c r="P40" s="6"/>
      <c r="Q40" s="6"/>
      <c r="R40" s="6"/>
      <c r="S40" s="6"/>
      <c r="T40" s="6"/>
      <c r="U40" s="6"/>
      <c r="V40" s="6"/>
    </row>
    <row r="41" customFormat="false" ht="30" hidden="false" customHeight="true" outlineLevel="0" collapsed="false">
      <c r="A41" s="35" t="s">
        <v>247</v>
      </c>
      <c r="B41" s="35"/>
      <c r="C41" s="35"/>
      <c r="D41" s="35"/>
      <c r="E41" s="35"/>
      <c r="F41" s="35"/>
      <c r="G41" s="35"/>
      <c r="H41" s="35"/>
      <c r="I41" s="35"/>
      <c r="J41" s="35"/>
      <c r="K41" s="35"/>
      <c r="L41" s="35"/>
      <c r="M41" s="35"/>
      <c r="N41" s="35"/>
      <c r="O41" s="35"/>
      <c r="P41" s="35"/>
      <c r="Q41" s="35"/>
      <c r="R41" s="35"/>
      <c r="S41" s="35"/>
      <c r="T41" s="35"/>
      <c r="U41" s="35"/>
      <c r="V41" s="35"/>
    </row>
    <row r="42" customFormat="false" ht="54" hidden="false" customHeight="true" outlineLevel="0" collapsed="false">
      <c r="A42" s="7" t="s">
        <v>173</v>
      </c>
      <c r="B42" s="7" t="s">
        <v>174</v>
      </c>
      <c r="C42" s="7" t="s">
        <v>175</v>
      </c>
      <c r="D42" s="7" t="s">
        <v>176</v>
      </c>
      <c r="E42" s="7" t="s">
        <v>177</v>
      </c>
      <c r="F42" s="7" t="s">
        <v>178</v>
      </c>
      <c r="G42" s="7" t="s">
        <v>179</v>
      </c>
      <c r="H42" s="7" t="s">
        <v>180</v>
      </c>
      <c r="I42" s="7" t="s">
        <v>181</v>
      </c>
      <c r="J42" s="7" t="s">
        <v>182</v>
      </c>
      <c r="K42" s="7" t="s">
        <v>183</v>
      </c>
      <c r="L42" s="7" t="s">
        <v>184</v>
      </c>
      <c r="M42" s="7" t="s">
        <v>185</v>
      </c>
      <c r="N42" s="7" t="s">
        <v>186</v>
      </c>
      <c r="O42" s="7" t="s">
        <v>187</v>
      </c>
      <c r="P42" s="7" t="s">
        <v>188</v>
      </c>
      <c r="Q42" s="7" t="s">
        <v>189</v>
      </c>
      <c r="R42" s="7" t="s">
        <v>190</v>
      </c>
      <c r="S42" s="7" t="s">
        <v>191</v>
      </c>
      <c r="T42" s="7" t="s">
        <v>192</v>
      </c>
      <c r="U42" s="7" t="s">
        <v>193</v>
      </c>
      <c r="V42" s="7" t="s">
        <v>194</v>
      </c>
    </row>
    <row r="43" customFormat="false" ht="23.85" hidden="false" customHeight="false" outlineLevel="0" collapsed="false">
      <c r="A43" s="31" t="s">
        <v>195</v>
      </c>
      <c r="B43" s="13" t="s">
        <v>139</v>
      </c>
      <c r="C43" s="9" t="s">
        <v>248</v>
      </c>
      <c r="D43" s="31" t="s">
        <v>140</v>
      </c>
      <c r="E43" s="36" t="n">
        <f aca="false">Inputs!$B$5</f>
        <v>2000</v>
      </c>
      <c r="F43" s="37" t="s">
        <v>238</v>
      </c>
      <c r="G43" s="47" t="s">
        <v>223</v>
      </c>
      <c r="H43" s="20" t="n">
        <v>24</v>
      </c>
      <c r="I43" s="39" t="n">
        <v>1.67</v>
      </c>
      <c r="J43" s="9" t="s">
        <v>249</v>
      </c>
      <c r="K43" s="39" t="n">
        <v>0</v>
      </c>
      <c r="L43" s="29" t="n">
        <f aca="false">IF(F43="USD",Inputs!$B$7,1)</f>
        <v>1</v>
      </c>
      <c r="M43" s="23" t="n">
        <f aca="false">(I43+K43)*L43*(1+Inputs!$B$29)</f>
        <v>1.67</v>
      </c>
      <c r="N43" s="23" t="n">
        <v>0</v>
      </c>
      <c r="O43" s="23" t="n">
        <f aca="false">$O$47/SUM($E$43:$E$45)</f>
        <v>0.0666666666666667</v>
      </c>
      <c r="P43" s="40" t="n">
        <f aca="false">M43+N43+O43</f>
        <v>1.73666666666667</v>
      </c>
      <c r="Q43" s="41" t="n">
        <f aca="false">P43*E43</f>
        <v>3473.33333333333</v>
      </c>
      <c r="R43" s="23" t="n">
        <v>0</v>
      </c>
      <c r="S43" s="40" t="n">
        <f aca="false">P43+R43</f>
        <v>1.73666666666667</v>
      </c>
      <c r="T43" s="41" t="n">
        <f aca="false">S43*E43</f>
        <v>3473.33333333333</v>
      </c>
      <c r="U43" s="23" t="n">
        <f aca="false">Inputs!$B$12-P43</f>
        <v>1.70333333333333</v>
      </c>
      <c r="V43" s="42" t="s">
        <v>250</v>
      </c>
    </row>
    <row r="44" customFormat="false" ht="23.85" hidden="false" customHeight="false" outlineLevel="0" collapsed="false">
      <c r="A44" s="31" t="s">
        <v>251</v>
      </c>
      <c r="B44" s="13" t="s">
        <v>146</v>
      </c>
      <c r="C44" s="9" t="s">
        <v>252</v>
      </c>
      <c r="D44" s="31" t="s">
        <v>147</v>
      </c>
      <c r="E44" s="36" t="n">
        <f aca="false">Inputs!$B$5</f>
        <v>2000</v>
      </c>
      <c r="F44" s="37" t="s">
        <v>238</v>
      </c>
      <c r="G44" s="47" t="s">
        <v>223</v>
      </c>
      <c r="H44" s="20" t="n">
        <v>24</v>
      </c>
      <c r="I44" s="39" t="n">
        <v>2.35</v>
      </c>
      <c r="J44" s="9" t="s">
        <v>249</v>
      </c>
      <c r="K44" s="39" t="n">
        <v>0</v>
      </c>
      <c r="L44" s="29" t="n">
        <f aca="false">IF(F44="USD",Inputs!$B$7,1)</f>
        <v>1</v>
      </c>
      <c r="M44" s="23" t="n">
        <f aca="false">(I44+K44)*L44*(1+Inputs!$B$29)</f>
        <v>2.35</v>
      </c>
      <c r="N44" s="23" t="n">
        <v>0</v>
      </c>
      <c r="O44" s="23" t="n">
        <f aca="false">$O$47/SUM($E$43:$E$45)</f>
        <v>0.0666666666666667</v>
      </c>
      <c r="P44" s="40" t="n">
        <f aca="false">M44+N44+O44</f>
        <v>2.41666666666667</v>
      </c>
      <c r="Q44" s="41" t="n">
        <f aca="false">P44*E44</f>
        <v>4833.33333333333</v>
      </c>
      <c r="R44" s="23" t="n">
        <v>0</v>
      </c>
      <c r="S44" s="40" t="n">
        <f aca="false">P44+R44</f>
        <v>2.41666666666667</v>
      </c>
      <c r="T44" s="41" t="n">
        <f aca="false">S44*E44</f>
        <v>4833.33333333333</v>
      </c>
      <c r="U44" s="23" t="n">
        <f aca="false">Inputs!$B$12-P44</f>
        <v>1.02333333333333</v>
      </c>
      <c r="V44" s="42" t="s">
        <v>253</v>
      </c>
    </row>
    <row r="45" customFormat="false" ht="23.85" hidden="false" customHeight="false" outlineLevel="0" collapsed="false">
      <c r="A45" s="31" t="s">
        <v>203</v>
      </c>
      <c r="B45" s="13" t="s">
        <v>146</v>
      </c>
      <c r="C45" s="9" t="s">
        <v>252</v>
      </c>
      <c r="D45" s="31" t="s">
        <v>147</v>
      </c>
      <c r="E45" s="36" t="n">
        <f aca="false">Inputs!$B$5</f>
        <v>2000</v>
      </c>
      <c r="F45" s="37" t="s">
        <v>238</v>
      </c>
      <c r="G45" s="47" t="s">
        <v>223</v>
      </c>
      <c r="H45" s="20" t="n">
        <v>24</v>
      </c>
      <c r="I45" s="39" t="n">
        <v>2.35</v>
      </c>
      <c r="J45" s="9" t="s">
        <v>249</v>
      </c>
      <c r="K45" s="39" t="n">
        <v>0</v>
      </c>
      <c r="L45" s="29" t="n">
        <f aca="false">IF(F45="USD",Inputs!$B$7,1)</f>
        <v>1</v>
      </c>
      <c r="M45" s="23" t="n">
        <f aca="false">(I45+K45)*L45*(1+Inputs!$B$29)</f>
        <v>2.35</v>
      </c>
      <c r="N45" s="23" t="n">
        <v>0</v>
      </c>
      <c r="O45" s="23" t="n">
        <f aca="false">$O$47/SUM($E$43:$E$45)</f>
        <v>0.0666666666666667</v>
      </c>
      <c r="P45" s="40" t="n">
        <f aca="false">M45+N45+O45</f>
        <v>2.41666666666667</v>
      </c>
      <c r="Q45" s="41" t="n">
        <f aca="false">P45*E45</f>
        <v>4833.33333333333</v>
      </c>
      <c r="R45" s="23" t="n">
        <v>0</v>
      </c>
      <c r="S45" s="40" t="n">
        <f aca="false">P45+R45</f>
        <v>2.41666666666667</v>
      </c>
      <c r="T45" s="41" t="n">
        <f aca="false">S45*E45</f>
        <v>4833.33333333333</v>
      </c>
      <c r="U45" s="23" t="n">
        <f aca="false">Inputs!$B$12-P45</f>
        <v>1.02333333333333</v>
      </c>
      <c r="V45" s="42" t="s">
        <v>254</v>
      </c>
    </row>
    <row r="46" customFormat="false" ht="15" hidden="false" customHeight="false" outlineLevel="0" collapsed="false">
      <c r="A46" s="43" t="s">
        <v>207</v>
      </c>
      <c r="B46" s="44"/>
      <c r="C46" s="44"/>
      <c r="D46" s="44"/>
      <c r="E46" s="45" t="n">
        <f aca="false">SUM(E43:E45)</f>
        <v>6000</v>
      </c>
      <c r="F46" s="44"/>
      <c r="G46" s="44"/>
      <c r="H46" s="44"/>
      <c r="I46" s="44"/>
      <c r="J46" s="44"/>
      <c r="K46" s="44"/>
      <c r="L46" s="44"/>
      <c r="M46" s="44"/>
      <c r="N46" s="44"/>
      <c r="O46" s="44"/>
      <c r="P46" s="40" t="n">
        <f aca="false">Q46/E46</f>
        <v>2.19</v>
      </c>
      <c r="Q46" s="46" t="n">
        <f aca="false">SUM(Q43:Q45)</f>
        <v>13140</v>
      </c>
      <c r="R46" s="44"/>
      <c r="S46" s="40" t="n">
        <f aca="false">T46/E46</f>
        <v>2.19</v>
      </c>
      <c r="T46" s="46" t="n">
        <f aca="false">SUM(T43:T45)</f>
        <v>13140</v>
      </c>
      <c r="U46" s="40" t="n">
        <f aca="false">Inputs!$B$12-P46</f>
        <v>1.25</v>
      </c>
      <c r="V46" s="44"/>
    </row>
    <row r="47" customFormat="false" ht="15" hidden="false" customHeight="false" outlineLevel="0" collapsed="false">
      <c r="A47" s="2" t="s">
        <v>208</v>
      </c>
      <c r="O47" s="41" t="n">
        <f aca="false">Inputs!$B$17</f>
        <v>400</v>
      </c>
      <c r="P47" s="2" t="s">
        <v>245</v>
      </c>
    </row>
  </sheetData>
  <mergeCells count="10">
    <mergeCell ref="A4:V4"/>
    <mergeCell ref="A5:V5"/>
    <mergeCell ref="A13:V13"/>
    <mergeCell ref="A14:V14"/>
    <mergeCell ref="A22:V22"/>
    <mergeCell ref="A23:V23"/>
    <mergeCell ref="A31:V31"/>
    <mergeCell ref="A32:V32"/>
    <mergeCell ref="A40:V40"/>
    <mergeCell ref="A41:V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3" min="3" style="0" width="22"/>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30"/>
    <col collapsed="false" customWidth="true" hidden="false" outlineLevel="0" max="11" min="11" style="0" width="9"/>
    <col collapsed="false" customWidth="true" hidden="false" outlineLevel="0" max="12" min="12" style="0" width="8"/>
    <col collapsed="false" customWidth="true" hidden="false" outlineLevel="0" max="14" min="13" style="0" width="11"/>
    <col collapsed="false" customWidth="true" hidden="false" outlineLevel="0" max="15" min="15" style="0" width="12"/>
    <col collapsed="false" customWidth="true" hidden="false" outlineLevel="0" max="17" min="16" style="0" width="11"/>
    <col collapsed="false" customWidth="true" hidden="false" outlineLevel="0" max="20" min="18" style="0" width="12"/>
    <col collapsed="false" customWidth="true" hidden="false" outlineLevel="0" max="21" min="21" style="0" width="11"/>
    <col collapsed="false" customWidth="true" hidden="false" outlineLevel="0" max="22" min="22" style="0" width="34"/>
  </cols>
  <sheetData>
    <row r="1" customFormat="false" ht="17.35" hidden="false" customHeight="false" outlineLevel="0" collapsed="false">
      <c r="A1" s="1" t="s">
        <v>255</v>
      </c>
    </row>
    <row r="2" customFormat="false" ht="15" hidden="false" customHeight="false" outlineLevel="0" collapsed="false">
      <c r="A2" s="2" t="s">
        <v>256</v>
      </c>
    </row>
    <row r="4" customFormat="false" ht="15" hidden="false" customHeight="false" outlineLevel="0" collapsed="false">
      <c r="A4" s="6" t="s">
        <v>257</v>
      </c>
      <c r="B4" s="6"/>
      <c r="C4" s="6"/>
      <c r="D4" s="6"/>
      <c r="E4" s="6"/>
      <c r="F4" s="6"/>
      <c r="G4" s="6"/>
      <c r="H4" s="6"/>
      <c r="I4" s="6"/>
      <c r="J4" s="6"/>
      <c r="K4" s="6"/>
      <c r="L4" s="6"/>
      <c r="M4" s="6"/>
      <c r="N4" s="6"/>
      <c r="O4" s="6"/>
      <c r="P4" s="6"/>
      <c r="Q4" s="6"/>
      <c r="R4" s="6"/>
      <c r="S4" s="6"/>
      <c r="T4" s="6"/>
      <c r="U4" s="6"/>
      <c r="V4" s="6"/>
    </row>
    <row r="5" customFormat="false" ht="30" hidden="false" customHeight="true" outlineLevel="0" collapsed="false">
      <c r="A5" s="35" t="s">
        <v>258</v>
      </c>
      <c r="B5" s="35"/>
      <c r="C5" s="35"/>
      <c r="D5" s="35"/>
      <c r="E5" s="35"/>
      <c r="F5" s="35"/>
      <c r="G5" s="35"/>
      <c r="H5" s="35"/>
      <c r="I5" s="35"/>
      <c r="J5" s="35"/>
      <c r="K5" s="35"/>
      <c r="L5" s="35"/>
      <c r="M5" s="35"/>
      <c r="N5" s="35"/>
      <c r="O5" s="35"/>
      <c r="P5" s="35"/>
      <c r="Q5" s="35"/>
      <c r="R5" s="35"/>
      <c r="S5" s="35"/>
      <c r="T5" s="35"/>
      <c r="U5" s="35"/>
      <c r="V5" s="35"/>
    </row>
    <row r="6" customFormat="false" ht="54" hidden="false" customHeight="true" outlineLevel="0" collapsed="false">
      <c r="A6" s="7" t="s">
        <v>173</v>
      </c>
      <c r="B6" s="7" t="s">
        <v>174</v>
      </c>
      <c r="C6" s="7" t="s">
        <v>175</v>
      </c>
      <c r="D6" s="7" t="s">
        <v>176</v>
      </c>
      <c r="E6" s="7" t="s">
        <v>177</v>
      </c>
      <c r="F6" s="7" t="s">
        <v>178</v>
      </c>
      <c r="G6" s="7" t="s">
        <v>179</v>
      </c>
      <c r="H6" s="7" t="s">
        <v>180</v>
      </c>
      <c r="I6" s="7" t="s">
        <v>181</v>
      </c>
      <c r="J6" s="7" t="s">
        <v>182</v>
      </c>
      <c r="K6" s="7" t="s">
        <v>183</v>
      </c>
      <c r="L6" s="7" t="s">
        <v>184</v>
      </c>
      <c r="M6" s="7" t="s">
        <v>185</v>
      </c>
      <c r="N6" s="7" t="s">
        <v>186</v>
      </c>
      <c r="O6" s="7" t="s">
        <v>187</v>
      </c>
      <c r="P6" s="7" t="s">
        <v>188</v>
      </c>
      <c r="Q6" s="7" t="s">
        <v>189</v>
      </c>
      <c r="R6" s="7" t="s">
        <v>190</v>
      </c>
      <c r="S6" s="7" t="s">
        <v>191</v>
      </c>
      <c r="T6" s="7" t="s">
        <v>192</v>
      </c>
      <c r="U6" s="7" t="s">
        <v>193</v>
      </c>
      <c r="V6" s="7" t="s">
        <v>194</v>
      </c>
    </row>
    <row r="7" customFormat="false" ht="46.25" hidden="false" customHeight="false" outlineLevel="0" collapsed="false">
      <c r="A7" s="31" t="s">
        <v>195</v>
      </c>
      <c r="B7" s="13" t="s">
        <v>220</v>
      </c>
      <c r="C7" s="9" t="s">
        <v>259</v>
      </c>
      <c r="D7" s="31" t="s">
        <v>222</v>
      </c>
      <c r="E7" s="36" t="n">
        <f aca="false">Inputs!$B$5</f>
        <v>2000</v>
      </c>
      <c r="F7" s="37" t="s">
        <v>197</v>
      </c>
      <c r="G7" s="47" t="s">
        <v>223</v>
      </c>
      <c r="H7" s="20"/>
      <c r="I7" s="39" t="n">
        <v>0.46</v>
      </c>
      <c r="J7" s="9" t="s">
        <v>224</v>
      </c>
      <c r="K7" s="39" t="n">
        <v>0.04</v>
      </c>
      <c r="L7" s="29" t="n">
        <f aca="false">IF(F7="USD",Inputs!$B$7,1)</f>
        <v>1.38</v>
      </c>
      <c r="M7" s="23" t="n">
        <f aca="false">(I7+K7)*L7*(1+Inputs!$B$29)</f>
        <v>0.69</v>
      </c>
      <c r="N7" s="23" t="n">
        <v>0</v>
      </c>
      <c r="O7" s="23" t="n">
        <f aca="false">$O$11/SUM($E$7:$E$9)</f>
        <v>0.413333333333333</v>
      </c>
      <c r="P7" s="40" t="n">
        <f aca="false">M7+N7+O7</f>
        <v>1.10333333333333</v>
      </c>
      <c r="Q7" s="41" t="n">
        <f aca="false">P7*E7</f>
        <v>2206.66666666667</v>
      </c>
      <c r="R7" s="23" t="n">
        <v>0</v>
      </c>
      <c r="S7" s="40" t="n">
        <f aca="false">P7+R7</f>
        <v>1.10333333333333</v>
      </c>
      <c r="T7" s="41" t="n">
        <f aca="false">S7*E7</f>
        <v>2206.66666666667</v>
      </c>
      <c r="U7" s="23" t="n">
        <f aca="false">Inputs!$B$12-P7</f>
        <v>2.33666666666667</v>
      </c>
      <c r="V7" s="42" t="s">
        <v>225</v>
      </c>
    </row>
    <row r="8" customFormat="false" ht="46.25" hidden="false" customHeight="false" outlineLevel="0" collapsed="false">
      <c r="A8" s="31" t="s">
        <v>200</v>
      </c>
      <c r="B8" s="13" t="s">
        <v>226</v>
      </c>
      <c r="C8" s="9" t="s">
        <v>260</v>
      </c>
      <c r="D8" s="31" t="s">
        <v>228</v>
      </c>
      <c r="E8" s="36" t="n">
        <f aca="false">Inputs!$B$5</f>
        <v>2000</v>
      </c>
      <c r="F8" s="37" t="s">
        <v>197</v>
      </c>
      <c r="G8" s="47" t="s">
        <v>223</v>
      </c>
      <c r="H8" s="20"/>
      <c r="I8" s="39" t="n">
        <v>0.48</v>
      </c>
      <c r="J8" s="9" t="s">
        <v>229</v>
      </c>
      <c r="K8" s="39" t="n">
        <v>0.04</v>
      </c>
      <c r="L8" s="29" t="n">
        <f aca="false">IF(F8="USD",Inputs!$B$7,1)</f>
        <v>1.38</v>
      </c>
      <c r="M8" s="23" t="n">
        <f aca="false">(I8+K8)*L8*(1+Inputs!$B$29)</f>
        <v>0.7176</v>
      </c>
      <c r="N8" s="23" t="n">
        <v>0</v>
      </c>
      <c r="O8" s="23" t="n">
        <f aca="false">$O$11/SUM($E$7:$E$9)</f>
        <v>0.413333333333333</v>
      </c>
      <c r="P8" s="40" t="n">
        <f aca="false">M8+N8+O8</f>
        <v>1.13093333333333</v>
      </c>
      <c r="Q8" s="41" t="n">
        <f aca="false">P8*E8</f>
        <v>2261.86666666667</v>
      </c>
      <c r="R8" s="23" t="n">
        <v>0</v>
      </c>
      <c r="S8" s="40" t="n">
        <f aca="false">P8+R8</f>
        <v>1.13093333333333</v>
      </c>
      <c r="T8" s="41" t="n">
        <f aca="false">S8*E8</f>
        <v>2261.86666666667</v>
      </c>
      <c r="U8" s="23" t="n">
        <f aca="false">Inputs!$B$12-P8</f>
        <v>2.30906666666667</v>
      </c>
      <c r="V8" s="42" t="s">
        <v>230</v>
      </c>
    </row>
    <row r="9" customFormat="false" ht="46.25" hidden="false" customHeight="false" outlineLevel="0" collapsed="false">
      <c r="A9" s="31" t="s">
        <v>203</v>
      </c>
      <c r="B9" s="13" t="s">
        <v>231</v>
      </c>
      <c r="C9" s="9" t="s">
        <v>261</v>
      </c>
      <c r="D9" s="31" t="s">
        <v>147</v>
      </c>
      <c r="E9" s="36" t="n">
        <f aca="false">Inputs!$B$5</f>
        <v>2000</v>
      </c>
      <c r="F9" s="37" t="s">
        <v>197</v>
      </c>
      <c r="G9" s="47" t="s">
        <v>223</v>
      </c>
      <c r="H9" s="20"/>
      <c r="I9" s="39" t="n">
        <v>0.48</v>
      </c>
      <c r="J9" s="9" t="s">
        <v>229</v>
      </c>
      <c r="K9" s="39" t="n">
        <v>0.04</v>
      </c>
      <c r="L9" s="29" t="n">
        <f aca="false">IF(F9="USD",Inputs!$B$7,1)</f>
        <v>1.38</v>
      </c>
      <c r="M9" s="23" t="n">
        <f aca="false">(I9+K9)*L9*(1+Inputs!$B$29)</f>
        <v>0.7176</v>
      </c>
      <c r="N9" s="23" t="n">
        <v>0</v>
      </c>
      <c r="O9" s="23" t="n">
        <f aca="false">$O$11/SUM($E$7:$E$9)</f>
        <v>0.413333333333333</v>
      </c>
      <c r="P9" s="40" t="n">
        <f aca="false">M9+N9+O9</f>
        <v>1.13093333333333</v>
      </c>
      <c r="Q9" s="41" t="n">
        <f aca="false">P9*E9</f>
        <v>2261.86666666667</v>
      </c>
      <c r="R9" s="23" t="n">
        <v>0</v>
      </c>
      <c r="S9" s="40" t="n">
        <f aca="false">P9+R9</f>
        <v>1.13093333333333</v>
      </c>
      <c r="T9" s="41" t="n">
        <f aca="false">S9*E9</f>
        <v>2261.86666666667</v>
      </c>
      <c r="U9" s="23" t="n">
        <f aca="false">Inputs!$B$12-P9</f>
        <v>2.30906666666667</v>
      </c>
      <c r="V9" s="42" t="s">
        <v>233</v>
      </c>
    </row>
    <row r="10" customFormat="false" ht="15" hidden="false" customHeight="false" outlineLevel="0" collapsed="false">
      <c r="A10" s="43" t="s">
        <v>207</v>
      </c>
      <c r="B10" s="44"/>
      <c r="C10" s="44"/>
      <c r="D10" s="44"/>
      <c r="E10" s="45" t="n">
        <f aca="false">SUM(E7:E9)</f>
        <v>6000</v>
      </c>
      <c r="F10" s="44"/>
      <c r="G10" s="44"/>
      <c r="H10" s="44"/>
      <c r="I10" s="44"/>
      <c r="J10" s="44"/>
      <c r="K10" s="44"/>
      <c r="L10" s="44"/>
      <c r="M10" s="44"/>
      <c r="N10" s="44"/>
      <c r="O10" s="44"/>
      <c r="P10" s="40" t="n">
        <f aca="false">Q10/E10</f>
        <v>1.12173333333333</v>
      </c>
      <c r="Q10" s="46" t="n">
        <f aca="false">SUM(Q7:Q9)</f>
        <v>6730.4</v>
      </c>
      <c r="R10" s="44"/>
      <c r="S10" s="40" t="n">
        <f aca="false">T10/E10</f>
        <v>1.12173333333333</v>
      </c>
      <c r="T10" s="46" t="n">
        <f aca="false">SUM(T7:T9)</f>
        <v>6730.4</v>
      </c>
      <c r="U10" s="40" t="n">
        <f aca="false">Inputs!$B$12-P10</f>
        <v>2.31826666666667</v>
      </c>
      <c r="V10" s="44"/>
    </row>
    <row r="11" customFormat="false" ht="15" hidden="false" customHeight="false" outlineLevel="0" collapsed="false">
      <c r="A11" s="2" t="s">
        <v>208</v>
      </c>
      <c r="O11" s="41" t="n">
        <f aca="false">Inputs!$B$18+Inputs!$B$26</f>
        <v>2480</v>
      </c>
      <c r="P11" s="2" t="s">
        <v>234</v>
      </c>
    </row>
    <row r="13" customFormat="false" ht="15" hidden="false" customHeight="false" outlineLevel="0" collapsed="false">
      <c r="A13" s="6" t="s">
        <v>262</v>
      </c>
      <c r="B13" s="6"/>
      <c r="C13" s="6"/>
      <c r="D13" s="6"/>
      <c r="E13" s="6"/>
      <c r="F13" s="6"/>
      <c r="G13" s="6"/>
      <c r="H13" s="6"/>
      <c r="I13" s="6"/>
      <c r="J13" s="6"/>
      <c r="K13" s="6"/>
      <c r="L13" s="6"/>
      <c r="M13" s="6"/>
      <c r="N13" s="6"/>
      <c r="O13" s="6"/>
      <c r="P13" s="6"/>
      <c r="Q13" s="6"/>
      <c r="R13" s="6"/>
      <c r="S13" s="6"/>
      <c r="T13" s="6"/>
      <c r="U13" s="6"/>
      <c r="V13" s="6"/>
    </row>
    <row r="14" customFormat="false" ht="30" hidden="false" customHeight="true" outlineLevel="0" collapsed="false">
      <c r="A14" s="35" t="s">
        <v>263</v>
      </c>
      <c r="B14" s="35"/>
      <c r="C14" s="35"/>
      <c r="D14" s="35"/>
      <c r="E14" s="35"/>
      <c r="F14" s="35"/>
      <c r="G14" s="35"/>
      <c r="H14" s="35"/>
      <c r="I14" s="35"/>
      <c r="J14" s="35"/>
      <c r="K14" s="35"/>
      <c r="L14" s="35"/>
      <c r="M14" s="35"/>
      <c r="N14" s="35"/>
      <c r="O14" s="35"/>
      <c r="P14" s="35"/>
      <c r="Q14" s="35"/>
      <c r="R14" s="35"/>
      <c r="S14" s="35"/>
      <c r="T14" s="35"/>
      <c r="U14" s="35"/>
      <c r="V14" s="35"/>
    </row>
    <row r="15" customFormat="false" ht="54" hidden="false" customHeight="true" outlineLevel="0" collapsed="false">
      <c r="A15" s="7" t="s">
        <v>173</v>
      </c>
      <c r="B15" s="7" t="s">
        <v>174</v>
      </c>
      <c r="C15" s="7" t="s">
        <v>175</v>
      </c>
      <c r="D15" s="7" t="s">
        <v>176</v>
      </c>
      <c r="E15" s="7" t="s">
        <v>177</v>
      </c>
      <c r="F15" s="7" t="s">
        <v>178</v>
      </c>
      <c r="G15" s="7" t="s">
        <v>179</v>
      </c>
      <c r="H15" s="7" t="s">
        <v>180</v>
      </c>
      <c r="I15" s="7" t="s">
        <v>181</v>
      </c>
      <c r="J15" s="7" t="s">
        <v>182</v>
      </c>
      <c r="K15" s="7" t="s">
        <v>183</v>
      </c>
      <c r="L15" s="7" t="s">
        <v>184</v>
      </c>
      <c r="M15" s="7" t="s">
        <v>185</v>
      </c>
      <c r="N15" s="7" t="s">
        <v>186</v>
      </c>
      <c r="O15" s="7" t="s">
        <v>187</v>
      </c>
      <c r="P15" s="7" t="s">
        <v>188</v>
      </c>
      <c r="Q15" s="7" t="s">
        <v>189</v>
      </c>
      <c r="R15" s="7" t="s">
        <v>190</v>
      </c>
      <c r="S15" s="7" t="s">
        <v>191</v>
      </c>
      <c r="T15" s="7" t="s">
        <v>192</v>
      </c>
      <c r="U15" s="7" t="s">
        <v>193</v>
      </c>
      <c r="V15" s="7" t="s">
        <v>194</v>
      </c>
    </row>
    <row r="16" customFormat="false" ht="23.85" hidden="false" customHeight="false" outlineLevel="0" collapsed="false">
      <c r="A16" s="31" t="s">
        <v>195</v>
      </c>
      <c r="B16" s="13" t="s">
        <v>139</v>
      </c>
      <c r="C16" s="9" t="s">
        <v>196</v>
      </c>
      <c r="D16" s="31" t="s">
        <v>140</v>
      </c>
      <c r="E16" s="36" t="n">
        <f aca="false">Inputs!$B$5</f>
        <v>2000</v>
      </c>
      <c r="F16" s="37" t="s">
        <v>197</v>
      </c>
      <c r="G16" s="38" t="n">
        <v>11.45</v>
      </c>
      <c r="H16" s="20" t="n">
        <v>24</v>
      </c>
      <c r="I16" s="28" t="n">
        <f aca="false">G16/H16</f>
        <v>0.477083333333333</v>
      </c>
      <c r="J16" s="9" t="s">
        <v>198</v>
      </c>
      <c r="K16" s="39" t="n">
        <v>0.14</v>
      </c>
      <c r="L16" s="29" t="n">
        <f aca="false">IF(F16="USD",Inputs!$B$7,1)</f>
        <v>1.38</v>
      </c>
      <c r="M16" s="23" t="n">
        <f aca="false">(I16+K16)*L16*(1+Inputs!$B$29)</f>
        <v>0.851575</v>
      </c>
      <c r="N16" s="48" t="n">
        <f aca="false">Inputs!$B$33</f>
        <v>0.45</v>
      </c>
      <c r="O16" s="23" t="n">
        <f aca="false">$O$20/SUM($E$16:$E$18)</f>
        <v>0.654</v>
      </c>
      <c r="P16" s="40" t="n">
        <f aca="false">M16+N16+O16</f>
        <v>1.955575</v>
      </c>
      <c r="Q16" s="41" t="n">
        <f aca="false">P16*E16</f>
        <v>3911.15</v>
      </c>
      <c r="R16" s="23" t="n">
        <f aca="false">M16*Inputs!$B$30</f>
        <v>0.4257875</v>
      </c>
      <c r="S16" s="40" t="n">
        <f aca="false">P16+R16</f>
        <v>2.3813625</v>
      </c>
      <c r="T16" s="41" t="n">
        <f aca="false">S16*E16</f>
        <v>4762.725</v>
      </c>
      <c r="U16" s="23" t="n">
        <f aca="false">Inputs!$B$12-P16</f>
        <v>1.484425</v>
      </c>
      <c r="V16" s="42" t="s">
        <v>264</v>
      </c>
    </row>
    <row r="17" customFormat="false" ht="22.35" hidden="false" customHeight="false" outlineLevel="0" collapsed="false">
      <c r="A17" s="31" t="s">
        <v>200</v>
      </c>
      <c r="B17" s="13" t="s">
        <v>142</v>
      </c>
      <c r="C17" s="9" t="s">
        <v>201</v>
      </c>
      <c r="D17" s="31" t="s">
        <v>143</v>
      </c>
      <c r="E17" s="36" t="n">
        <f aca="false">Inputs!$B$5</f>
        <v>2000</v>
      </c>
      <c r="F17" s="37" t="s">
        <v>197</v>
      </c>
      <c r="G17" s="38" t="n">
        <v>6.07</v>
      </c>
      <c r="H17" s="20" t="n">
        <v>12</v>
      </c>
      <c r="I17" s="28" t="n">
        <f aca="false">G17/H17</f>
        <v>0.505833333333333</v>
      </c>
      <c r="J17" s="9" t="s">
        <v>202</v>
      </c>
      <c r="K17" s="39" t="n">
        <v>0.11</v>
      </c>
      <c r="L17" s="29" t="n">
        <f aca="false">IF(F17="USD",Inputs!$B$7,1)</f>
        <v>1.38</v>
      </c>
      <c r="M17" s="23" t="n">
        <f aca="false">(I17+K17)*L17*(1+Inputs!$B$29)</f>
        <v>0.84985</v>
      </c>
      <c r="N17" s="48" t="n">
        <f aca="false">Inputs!$B$33</f>
        <v>0.45</v>
      </c>
      <c r="O17" s="23" t="n">
        <f aca="false">$O$20/SUM($E$16:$E$18)</f>
        <v>0.654</v>
      </c>
      <c r="P17" s="40" t="n">
        <f aca="false">M17+N17+O17</f>
        <v>1.95385</v>
      </c>
      <c r="Q17" s="41" t="n">
        <f aca="false">P17*E17</f>
        <v>3907.7</v>
      </c>
      <c r="R17" s="23" t="n">
        <f aca="false">M17*Inputs!$B$30</f>
        <v>0.424925</v>
      </c>
      <c r="S17" s="40" t="n">
        <f aca="false">P17+R17</f>
        <v>2.378775</v>
      </c>
      <c r="T17" s="41" t="n">
        <f aca="false">S17*E17</f>
        <v>4757.55</v>
      </c>
      <c r="U17" s="23" t="n">
        <f aca="false">Inputs!$B$12-P17</f>
        <v>1.48615</v>
      </c>
      <c r="V17" s="42" t="s">
        <v>264</v>
      </c>
    </row>
    <row r="18" customFormat="false" ht="35.05" hidden="false" customHeight="false" outlineLevel="0" collapsed="false">
      <c r="A18" s="31" t="s">
        <v>203</v>
      </c>
      <c r="B18" s="13" t="s">
        <v>150</v>
      </c>
      <c r="C18" s="9" t="s">
        <v>204</v>
      </c>
      <c r="D18" s="31" t="s">
        <v>147</v>
      </c>
      <c r="E18" s="36" t="n">
        <f aca="false">Inputs!$B$5</f>
        <v>2000</v>
      </c>
      <c r="F18" s="37" t="s">
        <v>197</v>
      </c>
      <c r="G18" s="38" t="n">
        <v>5.24</v>
      </c>
      <c r="H18" s="20" t="n">
        <v>12</v>
      </c>
      <c r="I18" s="28" t="n">
        <f aca="false">G18/H18</f>
        <v>0.436666666666667</v>
      </c>
      <c r="J18" s="9" t="s">
        <v>205</v>
      </c>
      <c r="K18" s="39" t="n">
        <v>0.15</v>
      </c>
      <c r="L18" s="29" t="n">
        <f aca="false">IF(F18="USD",Inputs!$B$7,1)</f>
        <v>1.38</v>
      </c>
      <c r="M18" s="23" t="n">
        <f aca="false">(I18+K18)*L18*(1+Inputs!$B$29)</f>
        <v>0.8096</v>
      </c>
      <c r="N18" s="48" t="n">
        <f aca="false">Inputs!$B$33</f>
        <v>0.45</v>
      </c>
      <c r="O18" s="23" t="n">
        <f aca="false">$O$20/SUM($E$16:$E$18)</f>
        <v>0.654</v>
      </c>
      <c r="P18" s="40" t="n">
        <f aca="false">M18+N18+O18</f>
        <v>1.9136</v>
      </c>
      <c r="Q18" s="41" t="n">
        <f aca="false">P18*E18</f>
        <v>3827.2</v>
      </c>
      <c r="R18" s="23" t="n">
        <f aca="false">M18*Inputs!$B$30</f>
        <v>0.4048</v>
      </c>
      <c r="S18" s="40" t="n">
        <f aca="false">P18+R18</f>
        <v>2.3184</v>
      </c>
      <c r="T18" s="41" t="n">
        <f aca="false">S18*E18</f>
        <v>4636.8</v>
      </c>
      <c r="U18" s="23" t="n">
        <f aca="false">Inputs!$B$12-P18</f>
        <v>1.5264</v>
      </c>
      <c r="V18" s="42" t="s">
        <v>264</v>
      </c>
    </row>
    <row r="19" customFormat="false" ht="15" hidden="false" customHeight="false" outlineLevel="0" collapsed="false">
      <c r="A19" s="43" t="s">
        <v>207</v>
      </c>
      <c r="B19" s="44"/>
      <c r="C19" s="44"/>
      <c r="D19" s="44"/>
      <c r="E19" s="45" t="n">
        <f aca="false">SUM(E16:E18)</f>
        <v>6000</v>
      </c>
      <c r="F19" s="44"/>
      <c r="G19" s="44"/>
      <c r="H19" s="44"/>
      <c r="I19" s="44"/>
      <c r="J19" s="44"/>
      <c r="K19" s="44"/>
      <c r="L19" s="44"/>
      <c r="M19" s="44"/>
      <c r="N19" s="44"/>
      <c r="O19" s="44"/>
      <c r="P19" s="40" t="n">
        <f aca="false">Q19/E19</f>
        <v>1.94100833333333</v>
      </c>
      <c r="Q19" s="46" t="n">
        <f aca="false">SUM(Q16:Q18)</f>
        <v>11646.05</v>
      </c>
      <c r="R19" s="44"/>
      <c r="S19" s="40" t="n">
        <f aca="false">T19/E19</f>
        <v>2.3595125</v>
      </c>
      <c r="T19" s="46" t="n">
        <f aca="false">SUM(T16:T18)</f>
        <v>14157.075</v>
      </c>
      <c r="U19" s="40" t="n">
        <f aca="false">Inputs!$B$12-P19</f>
        <v>1.49899166666667</v>
      </c>
      <c r="V19" s="44"/>
    </row>
    <row r="20" customFormat="false" ht="15" hidden="false" customHeight="false" outlineLevel="0" collapsed="false">
      <c r="A20" s="2" t="s">
        <v>208</v>
      </c>
      <c r="O20" s="41" t="n">
        <f aca="false">Inputs!$B$15*Inputs!$B$7+Inputs!$B$16+Inputs!$B$34*Inputs!$B$6+Inputs!$B$35</f>
        <v>3924</v>
      </c>
      <c r="P20" s="2" t="s">
        <v>265</v>
      </c>
    </row>
    <row r="22" customFormat="false" ht="15" hidden="false" customHeight="false" outlineLevel="0" collapsed="false">
      <c r="A22" s="6" t="s">
        <v>266</v>
      </c>
      <c r="B22" s="6"/>
      <c r="C22" s="6"/>
      <c r="D22" s="6"/>
      <c r="E22" s="6"/>
      <c r="F22" s="6"/>
      <c r="G22" s="6"/>
      <c r="H22" s="6"/>
      <c r="I22" s="6"/>
      <c r="J22" s="6"/>
      <c r="K22" s="6"/>
      <c r="L22" s="6"/>
      <c r="M22" s="6"/>
      <c r="N22" s="6"/>
      <c r="O22" s="6"/>
      <c r="P22" s="6"/>
      <c r="Q22" s="6"/>
      <c r="R22" s="6"/>
      <c r="S22" s="6"/>
      <c r="T22" s="6"/>
      <c r="U22" s="6"/>
      <c r="V22" s="6"/>
    </row>
    <row r="23" customFormat="false" ht="30" hidden="false" customHeight="true" outlineLevel="0" collapsed="false">
      <c r="A23" s="35" t="s">
        <v>267</v>
      </c>
      <c r="B23" s="35"/>
      <c r="C23" s="35"/>
      <c r="D23" s="35"/>
      <c r="E23" s="35"/>
      <c r="F23" s="35"/>
      <c r="G23" s="35"/>
      <c r="H23" s="35"/>
      <c r="I23" s="35"/>
      <c r="J23" s="35"/>
      <c r="K23" s="35"/>
      <c r="L23" s="35"/>
      <c r="M23" s="35"/>
      <c r="N23" s="35"/>
      <c r="O23" s="35"/>
      <c r="P23" s="35"/>
      <c r="Q23" s="35"/>
      <c r="R23" s="35"/>
      <c r="S23" s="35"/>
      <c r="T23" s="35"/>
      <c r="U23" s="35"/>
      <c r="V23" s="35"/>
    </row>
    <row r="24" customFormat="false" ht="54" hidden="false" customHeight="true" outlineLevel="0" collapsed="false">
      <c r="A24" s="7" t="s">
        <v>173</v>
      </c>
      <c r="B24" s="7" t="s">
        <v>174</v>
      </c>
      <c r="C24" s="7" t="s">
        <v>175</v>
      </c>
      <c r="D24" s="7" t="s">
        <v>176</v>
      </c>
      <c r="E24" s="7" t="s">
        <v>177</v>
      </c>
      <c r="F24" s="7" t="s">
        <v>178</v>
      </c>
      <c r="G24" s="7" t="s">
        <v>179</v>
      </c>
      <c r="H24" s="7" t="s">
        <v>180</v>
      </c>
      <c r="I24" s="7" t="s">
        <v>181</v>
      </c>
      <c r="J24" s="7" t="s">
        <v>182</v>
      </c>
      <c r="K24" s="7" t="s">
        <v>183</v>
      </c>
      <c r="L24" s="7" t="s">
        <v>184</v>
      </c>
      <c r="M24" s="7" t="s">
        <v>185</v>
      </c>
      <c r="N24" s="7" t="s">
        <v>186</v>
      </c>
      <c r="O24" s="7" t="s">
        <v>187</v>
      </c>
      <c r="P24" s="7" t="s">
        <v>188</v>
      </c>
      <c r="Q24" s="7" t="s">
        <v>189</v>
      </c>
      <c r="R24" s="7" t="s">
        <v>190</v>
      </c>
      <c r="S24" s="7" t="s">
        <v>191</v>
      </c>
      <c r="T24" s="7" t="s">
        <v>192</v>
      </c>
      <c r="U24" s="7" t="s">
        <v>193</v>
      </c>
      <c r="V24" s="7" t="s">
        <v>194</v>
      </c>
    </row>
    <row r="25" customFormat="false" ht="22.35" hidden="false" customHeight="false" outlineLevel="0" collapsed="false">
      <c r="A25" s="31" t="s">
        <v>195</v>
      </c>
      <c r="B25" s="13" t="s">
        <v>139</v>
      </c>
      <c r="C25" s="9" t="s">
        <v>212</v>
      </c>
      <c r="D25" s="31" t="s">
        <v>140</v>
      </c>
      <c r="E25" s="36" t="n">
        <f aca="false">Inputs!$B$5</f>
        <v>2000</v>
      </c>
      <c r="F25" s="37" t="s">
        <v>197</v>
      </c>
      <c r="G25" s="38" t="n">
        <v>12.15</v>
      </c>
      <c r="H25" s="20" t="n">
        <v>24</v>
      </c>
      <c r="I25" s="28" t="n">
        <f aca="false">G25/H25</f>
        <v>0.50625</v>
      </c>
      <c r="J25" s="9" t="s">
        <v>213</v>
      </c>
      <c r="K25" s="39" t="n">
        <v>0.1136</v>
      </c>
      <c r="L25" s="29" t="n">
        <f aca="false">IF(F25="USD",Inputs!$B$7,1)</f>
        <v>1.38</v>
      </c>
      <c r="M25" s="23" t="n">
        <f aca="false">(I25+K25)*L25*(1+Inputs!$B$29)</f>
        <v>0.855393</v>
      </c>
      <c r="N25" s="48" t="n">
        <f aca="false">Inputs!$B$33</f>
        <v>0.45</v>
      </c>
      <c r="O25" s="23" t="n">
        <f aca="false">$O$29/SUM($E$25:$E$27)</f>
        <v>0.654</v>
      </c>
      <c r="P25" s="40" t="n">
        <f aca="false">M25+N25+O25</f>
        <v>1.959393</v>
      </c>
      <c r="Q25" s="41" t="n">
        <f aca="false">P25*E25</f>
        <v>3918.786</v>
      </c>
      <c r="R25" s="23" t="n">
        <f aca="false">M25*Inputs!$B$30</f>
        <v>0.4276965</v>
      </c>
      <c r="S25" s="40" t="n">
        <f aca="false">P25+R25</f>
        <v>2.3870895</v>
      </c>
      <c r="T25" s="41" t="n">
        <f aca="false">S25*E25</f>
        <v>4774.179</v>
      </c>
      <c r="U25" s="23" t="n">
        <f aca="false">Inputs!$B$12-P25</f>
        <v>1.480607</v>
      </c>
      <c r="V25" s="42" t="s">
        <v>264</v>
      </c>
    </row>
    <row r="26" customFormat="false" ht="22.35" hidden="false" customHeight="false" outlineLevel="0" collapsed="false">
      <c r="A26" s="31" t="s">
        <v>200</v>
      </c>
      <c r="B26" s="13" t="s">
        <v>142</v>
      </c>
      <c r="C26" s="9" t="s">
        <v>214</v>
      </c>
      <c r="D26" s="31" t="s">
        <v>143</v>
      </c>
      <c r="E26" s="36" t="n">
        <f aca="false">Inputs!$B$5</f>
        <v>2000</v>
      </c>
      <c r="F26" s="37" t="s">
        <v>197</v>
      </c>
      <c r="G26" s="38" t="n">
        <v>7.4</v>
      </c>
      <c r="H26" s="20" t="n">
        <v>12</v>
      </c>
      <c r="I26" s="28" t="n">
        <f aca="false">G26/H26</f>
        <v>0.616666666666667</v>
      </c>
      <c r="J26" s="9" t="s">
        <v>215</v>
      </c>
      <c r="K26" s="39" t="n">
        <v>0.1444</v>
      </c>
      <c r="L26" s="29" t="n">
        <f aca="false">IF(F26="USD",Inputs!$B$7,1)</f>
        <v>1.38</v>
      </c>
      <c r="M26" s="23" t="n">
        <f aca="false">(I26+K26)*L26*(1+Inputs!$B$29)</f>
        <v>1.050272</v>
      </c>
      <c r="N26" s="48" t="n">
        <f aca="false">Inputs!$B$33</f>
        <v>0.45</v>
      </c>
      <c r="O26" s="23" t="n">
        <f aca="false">$O$29/SUM($E$25:$E$27)</f>
        <v>0.654</v>
      </c>
      <c r="P26" s="40" t="n">
        <f aca="false">M26+N26+O26</f>
        <v>2.154272</v>
      </c>
      <c r="Q26" s="41" t="n">
        <f aca="false">P26*E26</f>
        <v>4308.544</v>
      </c>
      <c r="R26" s="23" t="n">
        <f aca="false">M26*Inputs!$B$30</f>
        <v>0.525136</v>
      </c>
      <c r="S26" s="40" t="n">
        <f aca="false">P26+R26</f>
        <v>2.679408</v>
      </c>
      <c r="T26" s="41" t="n">
        <f aca="false">S26*E26</f>
        <v>5358.816</v>
      </c>
      <c r="U26" s="23" t="n">
        <f aca="false">Inputs!$B$12-P26</f>
        <v>1.285728</v>
      </c>
      <c r="V26" s="42" t="s">
        <v>264</v>
      </c>
    </row>
    <row r="27" customFormat="false" ht="22.35" hidden="false" customHeight="false" outlineLevel="0" collapsed="false">
      <c r="A27" s="31" t="s">
        <v>203</v>
      </c>
      <c r="B27" s="13" t="s">
        <v>150</v>
      </c>
      <c r="C27" s="9" t="s">
        <v>216</v>
      </c>
      <c r="D27" s="31" t="s">
        <v>147</v>
      </c>
      <c r="E27" s="36" t="n">
        <f aca="false">Inputs!$B$5</f>
        <v>2000</v>
      </c>
      <c r="F27" s="37" t="s">
        <v>197</v>
      </c>
      <c r="G27" s="38" t="n">
        <v>5.6</v>
      </c>
      <c r="H27" s="20" t="n">
        <v>12</v>
      </c>
      <c r="I27" s="28" t="n">
        <f aca="false">G27/H27</f>
        <v>0.466666666666667</v>
      </c>
      <c r="J27" s="9" t="s">
        <v>217</v>
      </c>
      <c r="K27" s="39" t="n">
        <v>0.22</v>
      </c>
      <c r="L27" s="29" t="n">
        <f aca="false">IF(F27="USD",Inputs!$B$7,1)</f>
        <v>1.38</v>
      </c>
      <c r="M27" s="23" t="n">
        <f aca="false">(I27+K27)*L27*(1+Inputs!$B$29)</f>
        <v>0.9476</v>
      </c>
      <c r="N27" s="48" t="n">
        <f aca="false">Inputs!$B$33</f>
        <v>0.45</v>
      </c>
      <c r="O27" s="23" t="n">
        <f aca="false">$O$29/SUM($E$25:$E$27)</f>
        <v>0.654</v>
      </c>
      <c r="P27" s="40" t="n">
        <f aca="false">M27+N27+O27</f>
        <v>2.0516</v>
      </c>
      <c r="Q27" s="41" t="n">
        <f aca="false">P27*E27</f>
        <v>4103.2</v>
      </c>
      <c r="R27" s="23" t="n">
        <f aca="false">M27*Inputs!$B$30</f>
        <v>0.4738</v>
      </c>
      <c r="S27" s="40" t="n">
        <f aca="false">P27+R27</f>
        <v>2.5254</v>
      </c>
      <c r="T27" s="41" t="n">
        <f aca="false">S27*E27</f>
        <v>5050.8</v>
      </c>
      <c r="U27" s="23" t="n">
        <f aca="false">Inputs!$B$12-P27</f>
        <v>1.3884</v>
      </c>
      <c r="V27" s="42" t="s">
        <v>264</v>
      </c>
    </row>
    <row r="28" customFormat="false" ht="15" hidden="false" customHeight="false" outlineLevel="0" collapsed="false">
      <c r="A28" s="43" t="s">
        <v>207</v>
      </c>
      <c r="B28" s="44"/>
      <c r="C28" s="44"/>
      <c r="D28" s="44"/>
      <c r="E28" s="45" t="n">
        <f aca="false">SUM(E25:E27)</f>
        <v>6000</v>
      </c>
      <c r="F28" s="44"/>
      <c r="G28" s="44"/>
      <c r="H28" s="44"/>
      <c r="I28" s="44"/>
      <c r="J28" s="44"/>
      <c r="K28" s="44"/>
      <c r="L28" s="44"/>
      <c r="M28" s="44"/>
      <c r="N28" s="44"/>
      <c r="O28" s="44"/>
      <c r="P28" s="40" t="n">
        <f aca="false">Q28/E28</f>
        <v>2.05508833333333</v>
      </c>
      <c r="Q28" s="46" t="n">
        <f aca="false">SUM(Q25:Q27)</f>
        <v>12330.53</v>
      </c>
      <c r="R28" s="44"/>
      <c r="S28" s="40" t="n">
        <f aca="false">T28/E28</f>
        <v>2.5306325</v>
      </c>
      <c r="T28" s="46" t="n">
        <f aca="false">SUM(T25:T27)</f>
        <v>15183.795</v>
      </c>
      <c r="U28" s="40" t="n">
        <f aca="false">Inputs!$B$12-P28</f>
        <v>1.38491166666667</v>
      </c>
      <c r="V28" s="44"/>
    </row>
    <row r="29" customFormat="false" ht="15" hidden="false" customHeight="false" outlineLevel="0" collapsed="false">
      <c r="A29" s="2" t="s">
        <v>208</v>
      </c>
      <c r="O29" s="41" t="n">
        <f aca="false">Inputs!$B$15*Inputs!$B$7+Inputs!$B$16+Inputs!$B$34*Inputs!$B$6+Inputs!$B$35</f>
        <v>3924</v>
      </c>
      <c r="P29" s="2" t="s">
        <v>265</v>
      </c>
    </row>
    <row r="31" customFormat="false" ht="15" hidden="false" customHeight="false" outlineLevel="0" collapsed="false">
      <c r="A31" s="6" t="s">
        <v>268</v>
      </c>
      <c r="B31" s="6"/>
      <c r="C31" s="6"/>
      <c r="D31" s="6"/>
      <c r="E31" s="6"/>
      <c r="F31" s="6"/>
      <c r="G31" s="6"/>
      <c r="H31" s="6"/>
      <c r="I31" s="6"/>
      <c r="J31" s="6"/>
      <c r="K31" s="6"/>
      <c r="L31" s="6"/>
      <c r="M31" s="6"/>
      <c r="N31" s="6"/>
      <c r="O31" s="6"/>
      <c r="P31" s="6"/>
      <c r="Q31" s="6"/>
      <c r="R31" s="6"/>
      <c r="S31" s="6"/>
      <c r="T31" s="6"/>
      <c r="U31" s="6"/>
      <c r="V31" s="6"/>
    </row>
    <row r="32" customFormat="false" ht="30" hidden="false" customHeight="true" outlineLevel="0" collapsed="false">
      <c r="A32" s="35" t="s">
        <v>269</v>
      </c>
      <c r="B32" s="35"/>
      <c r="C32" s="35"/>
      <c r="D32" s="35"/>
      <c r="E32" s="35"/>
      <c r="F32" s="35"/>
      <c r="G32" s="35"/>
      <c r="H32" s="35"/>
      <c r="I32" s="35"/>
      <c r="J32" s="35"/>
      <c r="K32" s="35"/>
      <c r="L32" s="35"/>
      <c r="M32" s="35"/>
      <c r="N32" s="35"/>
      <c r="O32" s="35"/>
      <c r="P32" s="35"/>
      <c r="Q32" s="35"/>
      <c r="R32" s="35"/>
      <c r="S32" s="35"/>
      <c r="T32" s="35"/>
      <c r="U32" s="35"/>
      <c r="V32" s="35"/>
    </row>
    <row r="33" customFormat="false" ht="54" hidden="false" customHeight="true" outlineLevel="0" collapsed="false">
      <c r="A33" s="7" t="s">
        <v>173</v>
      </c>
      <c r="B33" s="7" t="s">
        <v>174</v>
      </c>
      <c r="C33" s="7" t="s">
        <v>175</v>
      </c>
      <c r="D33" s="7" t="s">
        <v>176</v>
      </c>
      <c r="E33" s="7" t="s">
        <v>177</v>
      </c>
      <c r="F33" s="7" t="s">
        <v>178</v>
      </c>
      <c r="G33" s="7" t="s">
        <v>179</v>
      </c>
      <c r="H33" s="7" t="s">
        <v>180</v>
      </c>
      <c r="I33" s="7" t="s">
        <v>181</v>
      </c>
      <c r="J33" s="7" t="s">
        <v>182</v>
      </c>
      <c r="K33" s="7" t="s">
        <v>183</v>
      </c>
      <c r="L33" s="7" t="s">
        <v>184</v>
      </c>
      <c r="M33" s="7" t="s">
        <v>185</v>
      </c>
      <c r="N33" s="7" t="s">
        <v>186</v>
      </c>
      <c r="O33" s="7" t="s">
        <v>187</v>
      </c>
      <c r="P33" s="7" t="s">
        <v>188</v>
      </c>
      <c r="Q33" s="7" t="s">
        <v>189</v>
      </c>
      <c r="R33" s="7" t="s">
        <v>190</v>
      </c>
      <c r="S33" s="7" t="s">
        <v>191</v>
      </c>
      <c r="T33" s="7" t="s">
        <v>192</v>
      </c>
      <c r="U33" s="7" t="s">
        <v>193</v>
      </c>
      <c r="V33" s="7" t="s">
        <v>194</v>
      </c>
    </row>
    <row r="34" customFormat="false" ht="22.35" hidden="false" customHeight="false" outlineLevel="0" collapsed="false">
      <c r="A34" s="31" t="s">
        <v>195</v>
      </c>
      <c r="B34" s="13" t="s">
        <v>139</v>
      </c>
      <c r="C34" s="9" t="s">
        <v>270</v>
      </c>
      <c r="D34" s="31" t="s">
        <v>140</v>
      </c>
      <c r="E34" s="36" t="n">
        <f aca="false">Inputs!$B$5</f>
        <v>2000</v>
      </c>
      <c r="F34" s="37" t="s">
        <v>197</v>
      </c>
      <c r="G34" s="47" t="s">
        <v>223</v>
      </c>
      <c r="H34" s="20" t="n">
        <v>48</v>
      </c>
      <c r="I34" s="39" t="n">
        <v>0.75</v>
      </c>
      <c r="J34" s="9" t="s">
        <v>271</v>
      </c>
      <c r="K34" s="39" t="n">
        <v>0.15</v>
      </c>
      <c r="L34" s="29" t="n">
        <f aca="false">IF(F34="USD",Inputs!$B$7,1)</f>
        <v>1.38</v>
      </c>
      <c r="M34" s="23" t="n">
        <f aca="false">(I34+K34)*L34*(1+Inputs!$B$29)</f>
        <v>1.242</v>
      </c>
      <c r="N34" s="23" t="n">
        <v>0</v>
      </c>
      <c r="O34" s="23" t="n">
        <f aca="false">$O$38/SUM($E$34:$E$36)</f>
        <v>0.279</v>
      </c>
      <c r="P34" s="40" t="n">
        <f aca="false">M34+N34+O34</f>
        <v>1.521</v>
      </c>
      <c r="Q34" s="41" t="n">
        <f aca="false">P34*E34</f>
        <v>3042</v>
      </c>
      <c r="R34" s="23" t="n">
        <f aca="false">M34*Inputs!$B$30</f>
        <v>0.621</v>
      </c>
      <c r="S34" s="40" t="n">
        <f aca="false">P34+R34</f>
        <v>2.142</v>
      </c>
      <c r="T34" s="41" t="n">
        <f aca="false">S34*E34</f>
        <v>4284</v>
      </c>
      <c r="U34" s="23" t="n">
        <f aca="false">Inputs!$B$12-P34</f>
        <v>1.919</v>
      </c>
      <c r="V34" s="42" t="s">
        <v>272</v>
      </c>
    </row>
    <row r="35" customFormat="false" ht="15" hidden="false" customHeight="false" outlineLevel="0" collapsed="false">
      <c r="A35" s="31" t="s">
        <v>241</v>
      </c>
      <c r="B35" s="13" t="s">
        <v>150</v>
      </c>
      <c r="C35" s="9" t="s">
        <v>273</v>
      </c>
      <c r="D35" s="31" t="s">
        <v>147</v>
      </c>
      <c r="E35" s="36" t="n">
        <f aca="false">Inputs!$B$5</f>
        <v>2000</v>
      </c>
      <c r="F35" s="37" t="s">
        <v>197</v>
      </c>
      <c r="G35" s="47" t="s">
        <v>223</v>
      </c>
      <c r="H35" s="20" t="n">
        <v>60</v>
      </c>
      <c r="I35" s="39" t="n">
        <v>1.57</v>
      </c>
      <c r="J35" s="9" t="s">
        <v>217</v>
      </c>
      <c r="K35" s="39" t="n">
        <v>0.15</v>
      </c>
      <c r="L35" s="29" t="n">
        <f aca="false">IF(F35="USD",Inputs!$B$7,1)</f>
        <v>1.38</v>
      </c>
      <c r="M35" s="23" t="n">
        <f aca="false">(I35+K35)*L35*(1+Inputs!$B$29)</f>
        <v>2.3736</v>
      </c>
      <c r="N35" s="23" t="n">
        <v>0</v>
      </c>
      <c r="O35" s="23" t="n">
        <f aca="false">$O$38/SUM($E$34:$E$36)</f>
        <v>0.279</v>
      </c>
      <c r="P35" s="40" t="n">
        <f aca="false">M35+N35+O35</f>
        <v>2.6526</v>
      </c>
      <c r="Q35" s="41" t="n">
        <f aca="false">P35*E35</f>
        <v>5305.2</v>
      </c>
      <c r="R35" s="23" t="n">
        <f aca="false">M35*Inputs!$B$30</f>
        <v>1.1868</v>
      </c>
      <c r="S35" s="40" t="n">
        <f aca="false">P35+R35</f>
        <v>3.8394</v>
      </c>
      <c r="T35" s="41" t="n">
        <f aca="false">S35*E35</f>
        <v>7678.8</v>
      </c>
      <c r="U35" s="23" t="n">
        <f aca="false">Inputs!$B$12-P35</f>
        <v>0.787400000000001</v>
      </c>
      <c r="V35" s="42" t="s">
        <v>244</v>
      </c>
    </row>
    <row r="36" customFormat="false" ht="22.35" hidden="false" customHeight="false" outlineLevel="0" collapsed="false">
      <c r="A36" s="31" t="s">
        <v>203</v>
      </c>
      <c r="B36" s="13" t="s">
        <v>150</v>
      </c>
      <c r="C36" s="9" t="s">
        <v>273</v>
      </c>
      <c r="D36" s="31" t="s">
        <v>147</v>
      </c>
      <c r="E36" s="36" t="n">
        <f aca="false">Inputs!$B$5</f>
        <v>2000</v>
      </c>
      <c r="F36" s="37" t="s">
        <v>197</v>
      </c>
      <c r="G36" s="47" t="s">
        <v>223</v>
      </c>
      <c r="H36" s="20" t="n">
        <v>60</v>
      </c>
      <c r="I36" s="39" t="n">
        <v>1.57</v>
      </c>
      <c r="J36" s="9" t="s">
        <v>217</v>
      </c>
      <c r="K36" s="39" t="n">
        <v>0.15</v>
      </c>
      <c r="L36" s="29" t="n">
        <f aca="false">IF(F36="USD",Inputs!$B$7,1)</f>
        <v>1.38</v>
      </c>
      <c r="M36" s="23" t="n">
        <f aca="false">(I36+K36)*L36*(1+Inputs!$B$29)</f>
        <v>2.3736</v>
      </c>
      <c r="N36" s="23" t="n">
        <v>0</v>
      </c>
      <c r="O36" s="23" t="n">
        <f aca="false">$O$38/SUM($E$34:$E$36)</f>
        <v>0.279</v>
      </c>
      <c r="P36" s="40" t="n">
        <f aca="false">M36+N36+O36</f>
        <v>2.6526</v>
      </c>
      <c r="Q36" s="41" t="n">
        <f aca="false">P36*E36</f>
        <v>5305.2</v>
      </c>
      <c r="R36" s="23" t="n">
        <f aca="false">M36*Inputs!$B$30</f>
        <v>1.1868</v>
      </c>
      <c r="S36" s="40" t="n">
        <f aca="false">P36+R36</f>
        <v>3.8394</v>
      </c>
      <c r="T36" s="41" t="n">
        <f aca="false">S36*E36</f>
        <v>7678.8</v>
      </c>
      <c r="U36" s="23" t="n">
        <f aca="false">Inputs!$B$12-P36</f>
        <v>0.787400000000001</v>
      </c>
      <c r="V36" s="42" t="s">
        <v>272</v>
      </c>
    </row>
    <row r="37" customFormat="false" ht="15" hidden="false" customHeight="false" outlineLevel="0" collapsed="false">
      <c r="A37" s="43" t="s">
        <v>207</v>
      </c>
      <c r="B37" s="44"/>
      <c r="C37" s="44"/>
      <c r="D37" s="44"/>
      <c r="E37" s="45" t="n">
        <f aca="false">SUM(E34:E36)</f>
        <v>6000</v>
      </c>
      <c r="F37" s="44"/>
      <c r="G37" s="44"/>
      <c r="H37" s="44"/>
      <c r="I37" s="44"/>
      <c r="J37" s="44"/>
      <c r="K37" s="44"/>
      <c r="L37" s="44"/>
      <c r="M37" s="44"/>
      <c r="N37" s="44"/>
      <c r="O37" s="44"/>
      <c r="P37" s="40" t="n">
        <f aca="false">Q37/E37</f>
        <v>2.2754</v>
      </c>
      <c r="Q37" s="46" t="n">
        <f aca="false">SUM(Q34:Q36)</f>
        <v>13652.4</v>
      </c>
      <c r="R37" s="44"/>
      <c r="S37" s="40" t="n">
        <f aca="false">T37/E37</f>
        <v>3.2736</v>
      </c>
      <c r="T37" s="46" t="n">
        <f aca="false">SUM(T34:T36)</f>
        <v>19641.6</v>
      </c>
      <c r="U37" s="40" t="n">
        <f aca="false">Inputs!$B$12-P37</f>
        <v>1.1646</v>
      </c>
      <c r="V37" s="44"/>
    </row>
    <row r="38" customFormat="false" ht="15" hidden="false" customHeight="false" outlineLevel="0" collapsed="false">
      <c r="A38" s="2" t="s">
        <v>208</v>
      </c>
      <c r="O38" s="41" t="n">
        <f aca="false">Inputs!$B$15*Inputs!$B$7+Inputs!$B$16</f>
        <v>1674</v>
      </c>
      <c r="P38" s="2" t="s">
        <v>209</v>
      </c>
    </row>
  </sheetData>
  <mergeCells count="8">
    <mergeCell ref="A4:V4"/>
    <mergeCell ref="A5:V5"/>
    <mergeCell ref="A13:V13"/>
    <mergeCell ref="A14:V14"/>
    <mergeCell ref="A22:V22"/>
    <mergeCell ref="A23:V23"/>
    <mergeCell ref="A31:V31"/>
    <mergeCell ref="A32:V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6" min="6" style="0" width="7"/>
    <col collapsed="false" customWidth="true" hidden="false" outlineLevel="0" max="8" min="7" style="0" width="11"/>
    <col collapsed="false" customWidth="true" hidden="false" outlineLevel="0" max="9" min="9" style="0" width="12"/>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3" min="13" style="0" width="8"/>
    <col collapsed="false" customWidth="true" hidden="false" outlineLevel="0" max="14" min="14" style="0" width="12"/>
    <col collapsed="false" customWidth="true" hidden="false" outlineLevel="0" max="15" min="15" style="0" width="13"/>
  </cols>
  <sheetData>
    <row r="1" customFormat="false" ht="17.35" hidden="false" customHeight="false" outlineLevel="0" collapsed="false">
      <c r="A1" s="1" t="s">
        <v>274</v>
      </c>
    </row>
    <row r="2" customFormat="false" ht="15" hidden="false" customHeight="false" outlineLevel="0" collapsed="false">
      <c r="A2" s="2" t="s">
        <v>275</v>
      </c>
    </row>
    <row r="4" customFormat="false" ht="15" hidden="false" customHeight="false" outlineLevel="0" collapsed="false">
      <c r="A4" s="4" t="s">
        <v>276</v>
      </c>
    </row>
    <row r="5" customFormat="false" ht="43.5" hidden="false" customHeight="true" outlineLevel="0" collapsed="false">
      <c r="A5" s="26" t="s">
        <v>43</v>
      </c>
      <c r="B5" s="26" t="s">
        <v>44</v>
      </c>
      <c r="C5" s="26" t="s">
        <v>277</v>
      </c>
      <c r="D5" s="26" t="s">
        <v>278</v>
      </c>
      <c r="E5" s="26" t="s">
        <v>279</v>
      </c>
      <c r="F5" s="26" t="s">
        <v>280</v>
      </c>
      <c r="G5" s="26" t="s">
        <v>281</v>
      </c>
      <c r="H5" s="26" t="s">
        <v>282</v>
      </c>
    </row>
    <row r="6" customFormat="false" ht="15" hidden="false" customHeight="false" outlineLevel="0" collapsed="false">
      <c r="A6" s="13" t="s">
        <v>49</v>
      </c>
      <c r="B6" s="31" t="s">
        <v>283</v>
      </c>
      <c r="C6" s="41" t="n">
        <f aca="false">N27</f>
        <v>6696.05</v>
      </c>
      <c r="D6" s="41" t="n">
        <f aca="false">C6-N27</f>
        <v>0</v>
      </c>
      <c r="E6" s="41" t="n">
        <f aca="false">O27</f>
        <v>9207.075</v>
      </c>
      <c r="F6" s="41" t="n">
        <f aca="false">E6-O27</f>
        <v>0</v>
      </c>
      <c r="G6" s="23" t="n">
        <f aca="false">J27</f>
        <v>1.11600833333333</v>
      </c>
      <c r="H6" s="31" t="s">
        <v>284</v>
      </c>
    </row>
    <row r="7" customFormat="false" ht="15" hidden="false" customHeight="false" outlineLevel="0" collapsed="false">
      <c r="A7" s="13" t="s">
        <v>50</v>
      </c>
      <c r="B7" s="31" t="s">
        <v>285</v>
      </c>
      <c r="C7" s="41" t="n">
        <f aca="false">N34</f>
        <v>7090.7</v>
      </c>
      <c r="D7" s="41" t="n">
        <f aca="false">C7-N27</f>
        <v>394.650000000001</v>
      </c>
      <c r="E7" s="41" t="n">
        <f aca="false">O34</f>
        <v>7940.55</v>
      </c>
      <c r="F7" s="41" t="n">
        <f aca="false">E7-O27</f>
        <v>-1266.525</v>
      </c>
      <c r="G7" s="23" t="n">
        <f aca="false">J34</f>
        <v>1.18178333333333</v>
      </c>
      <c r="H7" s="31" t="s">
        <v>284</v>
      </c>
    </row>
    <row r="8" customFormat="false" ht="15" hidden="false" customHeight="false" outlineLevel="0" collapsed="false">
      <c r="A8" s="13" t="s">
        <v>51</v>
      </c>
      <c r="B8" s="31" t="s">
        <v>286</v>
      </c>
      <c r="C8" s="41" t="n">
        <f aca="false">N41</f>
        <v>6855</v>
      </c>
      <c r="D8" s="41" t="n">
        <f aca="false">C8-N27</f>
        <v>158.950000000001</v>
      </c>
      <c r="E8" s="41" t="n">
        <f aca="false">O41</f>
        <v>7664.6</v>
      </c>
      <c r="F8" s="41" t="n">
        <f aca="false">E8-O27</f>
        <v>-1542.475</v>
      </c>
      <c r="G8" s="23" t="n">
        <f aca="false">J41</f>
        <v>1.1425</v>
      </c>
      <c r="H8" s="31" t="s">
        <v>284</v>
      </c>
    </row>
    <row r="9" customFormat="false" ht="15" hidden="false" customHeight="false" outlineLevel="0" collapsed="false">
      <c r="A9" s="13" t="s">
        <v>52</v>
      </c>
      <c r="B9" s="31" t="s">
        <v>287</v>
      </c>
      <c r="C9" s="41" t="n">
        <f aca="false">N48</f>
        <v>7288.8</v>
      </c>
      <c r="D9" s="41" t="n">
        <f aca="false">C9-N27</f>
        <v>592.750000000001</v>
      </c>
      <c r="E9" s="41" t="n">
        <f aca="false">O48</f>
        <v>7288.8</v>
      </c>
      <c r="F9" s="41" t="n">
        <f aca="false">E9-O27</f>
        <v>-1918.275</v>
      </c>
      <c r="G9" s="23" t="n">
        <f aca="false">J48</f>
        <v>1.2148</v>
      </c>
      <c r="H9" s="31" t="s">
        <v>284</v>
      </c>
    </row>
    <row r="10" customFormat="false" ht="15" hidden="false" customHeight="false" outlineLevel="0" collapsed="false">
      <c r="A10" s="13" t="s">
        <v>288</v>
      </c>
      <c r="B10" s="31" t="s">
        <v>289</v>
      </c>
      <c r="C10" s="41" t="n">
        <f aca="false">N55</f>
        <v>6178.4</v>
      </c>
      <c r="D10" s="41" t="n">
        <f aca="false">C10-N27</f>
        <v>-517.65</v>
      </c>
      <c r="E10" s="41" t="n">
        <f aca="false">O55</f>
        <v>6178.4</v>
      </c>
      <c r="F10" s="41" t="n">
        <f aca="false">E10-O27</f>
        <v>-3028.675</v>
      </c>
      <c r="G10" s="23" t="n">
        <f aca="false">J55</f>
        <v>1.02973333333333</v>
      </c>
      <c r="H10" s="31" t="s">
        <v>290</v>
      </c>
    </row>
    <row r="11" customFormat="false" ht="15" hidden="false" customHeight="false" outlineLevel="0" collapsed="false">
      <c r="A11" s="13" t="s">
        <v>53</v>
      </c>
      <c r="B11" s="31" t="s">
        <v>291</v>
      </c>
      <c r="C11" s="41" t="n">
        <f aca="false">N63</f>
        <v>11646.05</v>
      </c>
      <c r="D11" s="41" t="n">
        <f aca="false">C11-N63</f>
        <v>0</v>
      </c>
      <c r="E11" s="41" t="n">
        <f aca="false">O63</f>
        <v>14157.075</v>
      </c>
      <c r="F11" s="41" t="n">
        <f aca="false">E11-O63</f>
        <v>0</v>
      </c>
      <c r="G11" s="23" t="n">
        <f aca="false">J63</f>
        <v>1.94100833333333</v>
      </c>
      <c r="H11" s="31" t="s">
        <v>284</v>
      </c>
    </row>
    <row r="12" customFormat="false" ht="15" hidden="false" customHeight="false" outlineLevel="0" collapsed="false">
      <c r="A12" s="13" t="s">
        <v>54</v>
      </c>
      <c r="B12" s="31" t="s">
        <v>292</v>
      </c>
      <c r="C12" s="41" t="n">
        <f aca="false">N70</f>
        <v>9271.9</v>
      </c>
      <c r="D12" s="41" t="n">
        <f aca="false">C12-N63</f>
        <v>-2374.15</v>
      </c>
      <c r="E12" s="41" t="n">
        <f aca="false">O70</f>
        <v>10121.75</v>
      </c>
      <c r="F12" s="41" t="n">
        <f aca="false">E12-O63</f>
        <v>-4035.325</v>
      </c>
      <c r="G12" s="23" t="n">
        <f aca="false">J70</f>
        <v>1.54531666666667</v>
      </c>
      <c r="H12" s="31" t="s">
        <v>284</v>
      </c>
    </row>
    <row r="13" customFormat="false" ht="15" hidden="false" customHeight="false" outlineLevel="0" collapsed="false">
      <c r="A13" s="13" t="s">
        <v>55</v>
      </c>
      <c r="B13" s="31" t="s">
        <v>293</v>
      </c>
      <c r="C13" s="41" t="n">
        <f aca="false">N77</f>
        <v>9091.4</v>
      </c>
      <c r="D13" s="41" t="n">
        <f aca="false">C13-N63</f>
        <v>-2554.65</v>
      </c>
      <c r="E13" s="41" t="n">
        <f aca="false">O77</f>
        <v>9901</v>
      </c>
      <c r="F13" s="41" t="n">
        <f aca="false">E13-O63</f>
        <v>-4256.075</v>
      </c>
      <c r="G13" s="23" t="n">
        <f aca="false">J77</f>
        <v>1.51523333333333</v>
      </c>
      <c r="H13" s="31" t="s">
        <v>284</v>
      </c>
    </row>
    <row r="14" customFormat="false" ht="15" hidden="false" customHeight="false" outlineLevel="0" collapsed="false">
      <c r="A14" s="13" t="s">
        <v>56</v>
      </c>
      <c r="B14" s="31" t="s">
        <v>294</v>
      </c>
      <c r="C14" s="41" t="n">
        <f aca="false">N84</f>
        <v>10369.4</v>
      </c>
      <c r="D14" s="41" t="n">
        <f aca="false">C14-N63</f>
        <v>-1276.65</v>
      </c>
      <c r="E14" s="41" t="n">
        <f aca="false">O84</f>
        <v>12743</v>
      </c>
      <c r="F14" s="41" t="n">
        <f aca="false">E14-O63</f>
        <v>-1414.075</v>
      </c>
      <c r="G14" s="23" t="n">
        <f aca="false">J84</f>
        <v>1.72823333333333</v>
      </c>
      <c r="H14" s="31" t="s">
        <v>295</v>
      </c>
    </row>
    <row r="15" customFormat="false" ht="15" hidden="false" customHeight="false" outlineLevel="0" collapsed="false">
      <c r="A15" s="13" t="s">
        <v>296</v>
      </c>
      <c r="B15" s="31" t="s">
        <v>297</v>
      </c>
      <c r="C15" s="41" t="n">
        <f aca="false">N91</f>
        <v>6730.4</v>
      </c>
      <c r="D15" s="41" t="n">
        <f aca="false">C15-N63</f>
        <v>-4915.65</v>
      </c>
      <c r="E15" s="41" t="n">
        <f aca="false">O91</f>
        <v>6730.4</v>
      </c>
      <c r="F15" s="41" t="n">
        <f aca="false">E15-O63</f>
        <v>-7426.675</v>
      </c>
      <c r="G15" s="23" t="n">
        <f aca="false">J91</f>
        <v>1.12173333333333</v>
      </c>
      <c r="H15" s="31" t="s">
        <v>290</v>
      </c>
    </row>
    <row r="16" customFormat="false" ht="15" hidden="false" customHeight="false" outlineLevel="0" collapsed="false">
      <c r="A16" s="4" t="s">
        <v>298</v>
      </c>
    </row>
    <row r="17" customFormat="false" ht="15" hidden="false" customHeight="false" outlineLevel="0" collapsed="false">
      <c r="A17" s="17" t="s">
        <v>299</v>
      </c>
    </row>
    <row r="18" customFormat="false" ht="15" hidden="false" customHeight="false" outlineLevel="0" collapsed="false">
      <c r="A18" s="17" t="s">
        <v>300</v>
      </c>
    </row>
    <row r="19" customFormat="false" ht="15" hidden="false" customHeight="false" outlineLevel="0" collapsed="false">
      <c r="A19" s="17" t="s">
        <v>301</v>
      </c>
    </row>
    <row r="20" customFormat="false" ht="15" hidden="false" customHeight="false" outlineLevel="0" collapsed="false">
      <c r="A20" s="17" t="s">
        <v>302</v>
      </c>
    </row>
    <row r="21" customFormat="false" ht="15" hidden="false" customHeight="false" outlineLevel="0" collapsed="false">
      <c r="A21" s="49" t="s">
        <v>303</v>
      </c>
    </row>
    <row r="22" customFormat="false" ht="15" hidden="false" customHeight="false" outlineLevel="0" collapsed="false">
      <c r="A22" s="6" t="s">
        <v>304</v>
      </c>
      <c r="B22" s="6"/>
      <c r="C22" s="6"/>
      <c r="D22" s="6"/>
      <c r="E22" s="6"/>
      <c r="F22" s="6"/>
      <c r="G22" s="6"/>
      <c r="H22" s="6"/>
      <c r="I22" s="6"/>
      <c r="J22" s="6"/>
      <c r="K22" s="6"/>
      <c r="L22" s="6"/>
      <c r="M22" s="6"/>
      <c r="N22" s="6"/>
      <c r="O22" s="6"/>
    </row>
    <row r="23" customFormat="false" ht="42" hidden="false" customHeight="true" outlineLevel="0" collapsed="false">
      <c r="A23" s="7" t="s">
        <v>173</v>
      </c>
      <c r="B23" s="7" t="s">
        <v>305</v>
      </c>
      <c r="C23" s="7" t="s">
        <v>136</v>
      </c>
      <c r="D23" s="7" t="s">
        <v>306</v>
      </c>
      <c r="E23" s="7" t="s">
        <v>307</v>
      </c>
      <c r="F23" s="7" t="s">
        <v>308</v>
      </c>
      <c r="G23" s="7" t="s">
        <v>309</v>
      </c>
      <c r="H23" s="7" t="s">
        <v>310</v>
      </c>
      <c r="I23" s="7" t="s">
        <v>311</v>
      </c>
      <c r="J23" s="7" t="s">
        <v>188</v>
      </c>
      <c r="K23" s="7" t="s">
        <v>312</v>
      </c>
      <c r="L23" s="7" t="s">
        <v>313</v>
      </c>
      <c r="M23" s="7" t="s">
        <v>177</v>
      </c>
      <c r="N23" s="7" t="s">
        <v>189</v>
      </c>
      <c r="O23" s="7" t="s">
        <v>192</v>
      </c>
    </row>
    <row r="24" customFormat="false" ht="15" hidden="false" customHeight="false" outlineLevel="0" collapsed="false">
      <c r="A24" s="31" t="s">
        <v>314</v>
      </c>
      <c r="B24" s="9" t="s">
        <v>315</v>
      </c>
      <c r="C24" s="14" t="str">
        <f aca="false">'Regular Finish – Top 3'!B7</f>
        <v>4 oz</v>
      </c>
      <c r="D24" s="31" t="s">
        <v>316</v>
      </c>
      <c r="E24" s="50" t="n">
        <f aca="false">'Regular Finish – Top 3'!I7+'Regular Finish – Top 3'!K7</f>
        <v>0.617083333333333</v>
      </c>
      <c r="F24" s="51" t="n">
        <f aca="false">'Regular Finish – Top 3'!L7</f>
        <v>1.38</v>
      </c>
      <c r="G24" s="23" t="n">
        <f aca="false">E24*F24*(1+Inputs!$B$29)</f>
        <v>0.851575</v>
      </c>
      <c r="H24" s="23" t="n">
        <v>0</v>
      </c>
      <c r="I24" s="23" t="n">
        <f aca="false">(Inputs!$B$15*Inputs!$B$7+Inputs!$B$16)/(Inputs!$B$5*Inputs!$B$6)</f>
        <v>0.279</v>
      </c>
      <c r="J24" s="40" t="n">
        <f aca="false">G24+H24+I24</f>
        <v>1.130575</v>
      </c>
      <c r="K24" s="23" t="n">
        <f aca="false">G24*Inputs!$B$30</f>
        <v>0.4257875</v>
      </c>
      <c r="L24" s="40" t="n">
        <f aca="false">J24+K24</f>
        <v>1.5563625</v>
      </c>
      <c r="M24" s="36" t="n">
        <f aca="false">Inputs!$B$5</f>
        <v>2000</v>
      </c>
      <c r="N24" s="41" t="n">
        <f aca="false">J24*M24</f>
        <v>2261.15</v>
      </c>
      <c r="O24" s="41" t="n">
        <f aca="false">L24*M24</f>
        <v>3112.725</v>
      </c>
    </row>
    <row r="25" customFormat="false" ht="15" hidden="false" customHeight="false" outlineLevel="0" collapsed="false">
      <c r="A25" s="31" t="s">
        <v>317</v>
      </c>
      <c r="B25" s="9" t="s">
        <v>315</v>
      </c>
      <c r="C25" s="14" t="str">
        <f aca="false">'Regular Finish – Top 3'!B8</f>
        <v>6 oz</v>
      </c>
      <c r="D25" s="31" t="s">
        <v>316</v>
      </c>
      <c r="E25" s="50" t="n">
        <f aca="false">'Regular Finish – Top 3'!I8+'Regular Finish – Top 3'!K8</f>
        <v>0.615833333333333</v>
      </c>
      <c r="F25" s="51" t="n">
        <f aca="false">'Regular Finish – Top 3'!L8</f>
        <v>1.38</v>
      </c>
      <c r="G25" s="23" t="n">
        <f aca="false">E25*F25*(1+Inputs!$B$29)</f>
        <v>0.84985</v>
      </c>
      <c r="H25" s="23" t="n">
        <v>0</v>
      </c>
      <c r="I25" s="23" t="n">
        <f aca="false">(Inputs!$B$15*Inputs!$B$7+Inputs!$B$16)/(Inputs!$B$5*Inputs!$B$6)</f>
        <v>0.279</v>
      </c>
      <c r="J25" s="40" t="n">
        <f aca="false">G25+H25+I25</f>
        <v>1.12885</v>
      </c>
      <c r="K25" s="23" t="n">
        <f aca="false">G25*Inputs!$B$30</f>
        <v>0.424925</v>
      </c>
      <c r="L25" s="40" t="n">
        <f aca="false">J25+K25</f>
        <v>1.553775</v>
      </c>
      <c r="M25" s="36" t="n">
        <f aca="false">Inputs!$B$5</f>
        <v>2000</v>
      </c>
      <c r="N25" s="41" t="n">
        <f aca="false">J25*M25</f>
        <v>2257.7</v>
      </c>
      <c r="O25" s="41" t="n">
        <f aca="false">L25*M25</f>
        <v>3107.55</v>
      </c>
    </row>
    <row r="26" customFormat="false" ht="15" hidden="false" customHeight="false" outlineLevel="0" collapsed="false">
      <c r="A26" s="31" t="s">
        <v>318</v>
      </c>
      <c r="B26" s="9" t="s">
        <v>315</v>
      </c>
      <c r="C26" s="14" t="str">
        <f aca="false">'Regular Finish – Top 3'!B9</f>
        <v>9 oz</v>
      </c>
      <c r="D26" s="31" t="s">
        <v>316</v>
      </c>
      <c r="E26" s="50" t="n">
        <f aca="false">'Regular Finish – Top 3'!I9+'Regular Finish – Top 3'!K9</f>
        <v>0.586666666666667</v>
      </c>
      <c r="F26" s="51" t="n">
        <f aca="false">'Regular Finish – Top 3'!L9</f>
        <v>1.38</v>
      </c>
      <c r="G26" s="23" t="n">
        <f aca="false">E26*F26*(1+Inputs!$B$29)</f>
        <v>0.8096</v>
      </c>
      <c r="H26" s="23" t="n">
        <v>0</v>
      </c>
      <c r="I26" s="23" t="n">
        <f aca="false">(Inputs!$B$15*Inputs!$B$7+Inputs!$B$16)/(Inputs!$B$5*Inputs!$B$6)</f>
        <v>0.279</v>
      </c>
      <c r="J26" s="40" t="n">
        <f aca="false">G26+H26+I26</f>
        <v>1.0886</v>
      </c>
      <c r="K26" s="23" t="n">
        <f aca="false">G26*Inputs!$B$30</f>
        <v>0.4048</v>
      </c>
      <c r="L26" s="40" t="n">
        <f aca="false">J26+K26</f>
        <v>1.4934</v>
      </c>
      <c r="M26" s="36" t="n">
        <f aca="false">Inputs!$B$5</f>
        <v>2000</v>
      </c>
      <c r="N26" s="41" t="n">
        <f aca="false">J26*M26</f>
        <v>2177.2</v>
      </c>
      <c r="O26" s="41" t="n">
        <f aca="false">L26*M26</f>
        <v>2986.8</v>
      </c>
    </row>
    <row r="27" customFormat="false" ht="15" hidden="false" customHeight="false" outlineLevel="0" collapsed="false">
      <c r="A27" s="43" t="s">
        <v>319</v>
      </c>
      <c r="B27" s="44"/>
      <c r="C27" s="44"/>
      <c r="D27" s="44"/>
      <c r="E27" s="44"/>
      <c r="F27" s="44"/>
      <c r="G27" s="44"/>
      <c r="H27" s="44"/>
      <c r="I27" s="44"/>
      <c r="J27" s="40" t="n">
        <f aca="false">N27/M27</f>
        <v>1.11600833333333</v>
      </c>
      <c r="K27" s="44"/>
      <c r="L27" s="40" t="n">
        <f aca="false">O27/M27</f>
        <v>1.5345125</v>
      </c>
      <c r="M27" s="45" t="n">
        <f aca="false">SUM(M24:M26)</f>
        <v>6000</v>
      </c>
      <c r="N27" s="46" t="n">
        <f aca="false">SUM(N24:N26)</f>
        <v>6696.05</v>
      </c>
      <c r="O27" s="46" t="n">
        <f aca="false">SUM(O24:O26)</f>
        <v>9207.075</v>
      </c>
    </row>
    <row r="29" customFormat="false" ht="15" hidden="false" customHeight="false" outlineLevel="0" collapsed="false">
      <c r="A29" s="6" t="s">
        <v>320</v>
      </c>
      <c r="B29" s="6"/>
      <c r="C29" s="6"/>
      <c r="D29" s="6"/>
      <c r="E29" s="6"/>
      <c r="F29" s="6"/>
      <c r="G29" s="6"/>
      <c r="H29" s="6"/>
      <c r="I29" s="6"/>
      <c r="J29" s="6"/>
      <c r="K29" s="6"/>
      <c r="L29" s="6"/>
      <c r="M29" s="6"/>
      <c r="N29" s="6"/>
      <c r="O29" s="6"/>
    </row>
    <row r="30" customFormat="false" ht="42" hidden="false" customHeight="true" outlineLevel="0" collapsed="false">
      <c r="A30" s="7" t="s">
        <v>173</v>
      </c>
      <c r="B30" s="7" t="s">
        <v>305</v>
      </c>
      <c r="C30" s="7" t="s">
        <v>136</v>
      </c>
      <c r="D30" s="7" t="s">
        <v>306</v>
      </c>
      <c r="E30" s="7" t="s">
        <v>307</v>
      </c>
      <c r="F30" s="7" t="s">
        <v>308</v>
      </c>
      <c r="G30" s="7" t="s">
        <v>309</v>
      </c>
      <c r="H30" s="7" t="s">
        <v>310</v>
      </c>
      <c r="I30" s="7" t="s">
        <v>311</v>
      </c>
      <c r="J30" s="7" t="s">
        <v>188</v>
      </c>
      <c r="K30" s="7" t="s">
        <v>312</v>
      </c>
      <c r="L30" s="7" t="s">
        <v>313</v>
      </c>
      <c r="M30" s="7" t="s">
        <v>177</v>
      </c>
      <c r="N30" s="7" t="s">
        <v>189</v>
      </c>
      <c r="O30" s="7" t="s">
        <v>192</v>
      </c>
    </row>
    <row r="31" customFormat="false" ht="15" hidden="false" customHeight="false" outlineLevel="0" collapsed="false">
      <c r="A31" s="31" t="s">
        <v>314</v>
      </c>
      <c r="B31" s="9" t="s">
        <v>321</v>
      </c>
      <c r="C31" s="14" t="str">
        <f aca="false">'Regular Finish – Top 3'!B25</f>
        <v>120 ml</v>
      </c>
      <c r="D31" s="31" t="s">
        <v>322</v>
      </c>
      <c r="E31" s="50" t="n">
        <f aca="false">'Regular Finish – Top 3'!I25+'Regular Finish – Top 3'!K25</f>
        <v>0.44</v>
      </c>
      <c r="F31" s="51" t="n">
        <f aca="false">'Regular Finish – Top 3'!L25</f>
        <v>1.38</v>
      </c>
      <c r="G31" s="23" t="n">
        <f aca="false">E31*F31*(1+Inputs!$B$29)</f>
        <v>0.6072</v>
      </c>
      <c r="H31" s="23" t="n">
        <v>0</v>
      </c>
      <c r="I31" s="23" t="n">
        <f aca="false">(Inputs!$B$24+Inputs!$B$26)/(2*Inputs!$B$5)</f>
        <v>0.545</v>
      </c>
      <c r="J31" s="40" t="n">
        <f aca="false">G31+H31+I31</f>
        <v>1.1522</v>
      </c>
      <c r="K31" s="23" t="n">
        <v>0</v>
      </c>
      <c r="L31" s="40" t="n">
        <f aca="false">J31+K31</f>
        <v>1.1522</v>
      </c>
      <c r="M31" s="36" t="n">
        <f aca="false">Inputs!$B$5</f>
        <v>2000</v>
      </c>
      <c r="N31" s="41" t="n">
        <f aca="false">J31*M31</f>
        <v>2304.4</v>
      </c>
      <c r="O31" s="41" t="n">
        <f aca="false">L31*M31</f>
        <v>2304.4</v>
      </c>
    </row>
    <row r="32" customFormat="false" ht="15" hidden="false" customHeight="false" outlineLevel="0" collapsed="false">
      <c r="A32" s="31" t="s">
        <v>317</v>
      </c>
      <c r="B32" s="9" t="s">
        <v>323</v>
      </c>
      <c r="C32" s="14" t="str">
        <f aca="false">'Regular Finish – Top 3'!B8</f>
        <v>6 oz</v>
      </c>
      <c r="D32" s="31" t="s">
        <v>316</v>
      </c>
      <c r="E32" s="50" t="n">
        <f aca="false">'Regular Finish – Top 3'!I8+'Regular Finish – Top 3'!K8</f>
        <v>0.615833333333333</v>
      </c>
      <c r="F32" s="51" t="n">
        <f aca="false">'Regular Finish – Top 3'!L8</f>
        <v>1.38</v>
      </c>
      <c r="G32" s="23" t="n">
        <f aca="false">E32*F32*(1+Inputs!$B$29)</f>
        <v>0.84985</v>
      </c>
      <c r="H32" s="23" t="n">
        <v>0</v>
      </c>
      <c r="I32" s="23" t="n">
        <f aca="false">(Inputs!$B$21*Inputs!$B$7+Inputs!$B$22)/Inputs!$B$5</f>
        <v>0.3635</v>
      </c>
      <c r="J32" s="40" t="n">
        <f aca="false">G32+H32+I32</f>
        <v>1.21335</v>
      </c>
      <c r="K32" s="23" t="n">
        <f aca="false">G32*Inputs!$B$30</f>
        <v>0.424925</v>
      </c>
      <c r="L32" s="40" t="n">
        <f aca="false">J32+K32</f>
        <v>1.638275</v>
      </c>
      <c r="M32" s="36" t="n">
        <f aca="false">Inputs!$B$5</f>
        <v>2000</v>
      </c>
      <c r="N32" s="41" t="n">
        <f aca="false">J32*M32</f>
        <v>2426.7</v>
      </c>
      <c r="O32" s="41" t="n">
        <f aca="false">L32*M32</f>
        <v>3276.55</v>
      </c>
    </row>
    <row r="33" customFormat="false" ht="15" hidden="false" customHeight="false" outlineLevel="0" collapsed="false">
      <c r="A33" s="31" t="s">
        <v>318</v>
      </c>
      <c r="B33" s="9" t="s">
        <v>321</v>
      </c>
      <c r="C33" s="14" t="str">
        <f aca="false">'Regular Finish – Top 3'!B27</f>
        <v>250–270 ml</v>
      </c>
      <c r="D33" s="31" t="s">
        <v>322</v>
      </c>
      <c r="E33" s="50" t="n">
        <f aca="false">'Regular Finish – Top 3'!I27+'Regular Finish – Top 3'!K27</f>
        <v>0.46</v>
      </c>
      <c r="F33" s="51" t="n">
        <f aca="false">'Regular Finish – Top 3'!L27</f>
        <v>1.38</v>
      </c>
      <c r="G33" s="23" t="n">
        <f aca="false">E33*F33*(1+Inputs!$B$29)</f>
        <v>0.6348</v>
      </c>
      <c r="H33" s="23" t="n">
        <v>0</v>
      </c>
      <c r="I33" s="23" t="n">
        <f aca="false">(Inputs!$B$24+Inputs!$B$26)/(2*Inputs!$B$5)</f>
        <v>0.545</v>
      </c>
      <c r="J33" s="40" t="n">
        <f aca="false">G33+H33+I33</f>
        <v>1.1798</v>
      </c>
      <c r="K33" s="23" t="n">
        <v>0</v>
      </c>
      <c r="L33" s="40" t="n">
        <f aca="false">J33+K33</f>
        <v>1.1798</v>
      </c>
      <c r="M33" s="36" t="n">
        <f aca="false">Inputs!$B$5</f>
        <v>2000</v>
      </c>
      <c r="N33" s="41" t="n">
        <f aca="false">J33*M33</f>
        <v>2359.6</v>
      </c>
      <c r="O33" s="41" t="n">
        <f aca="false">L33*M33</f>
        <v>2359.6</v>
      </c>
    </row>
    <row r="34" customFormat="false" ht="15" hidden="false" customHeight="false" outlineLevel="0" collapsed="false">
      <c r="A34" s="43" t="s">
        <v>319</v>
      </c>
      <c r="B34" s="44"/>
      <c r="C34" s="44"/>
      <c r="D34" s="44"/>
      <c r="E34" s="44"/>
      <c r="F34" s="44"/>
      <c r="G34" s="44"/>
      <c r="H34" s="44"/>
      <c r="I34" s="44"/>
      <c r="J34" s="40" t="n">
        <f aca="false">N34/M34</f>
        <v>1.18178333333333</v>
      </c>
      <c r="K34" s="44"/>
      <c r="L34" s="40" t="n">
        <f aca="false">O34/M34</f>
        <v>1.323425</v>
      </c>
      <c r="M34" s="45" t="n">
        <f aca="false">SUM(M31:M33)</f>
        <v>6000</v>
      </c>
      <c r="N34" s="46" t="n">
        <f aca="false">SUM(N31:N33)</f>
        <v>7090.7</v>
      </c>
      <c r="O34" s="46" t="n">
        <f aca="false">SUM(O31:O33)</f>
        <v>7940.55</v>
      </c>
    </row>
    <row r="36" customFormat="false" ht="15" hidden="false" customHeight="false" outlineLevel="0" collapsed="false">
      <c r="A36" s="6" t="s">
        <v>324</v>
      </c>
      <c r="B36" s="6"/>
      <c r="C36" s="6"/>
      <c r="D36" s="6"/>
      <c r="E36" s="6"/>
      <c r="F36" s="6"/>
      <c r="G36" s="6"/>
      <c r="H36" s="6"/>
      <c r="I36" s="6"/>
      <c r="J36" s="6"/>
      <c r="K36" s="6"/>
      <c r="L36" s="6"/>
      <c r="M36" s="6"/>
      <c r="N36" s="6"/>
      <c r="O36" s="6"/>
    </row>
    <row r="37" customFormat="false" ht="42" hidden="false" customHeight="true" outlineLevel="0" collapsed="false">
      <c r="A37" s="7" t="s">
        <v>173</v>
      </c>
      <c r="B37" s="7" t="s">
        <v>305</v>
      </c>
      <c r="C37" s="7" t="s">
        <v>136</v>
      </c>
      <c r="D37" s="7" t="s">
        <v>306</v>
      </c>
      <c r="E37" s="7" t="s">
        <v>307</v>
      </c>
      <c r="F37" s="7" t="s">
        <v>308</v>
      </c>
      <c r="G37" s="7" t="s">
        <v>309</v>
      </c>
      <c r="H37" s="7" t="s">
        <v>310</v>
      </c>
      <c r="I37" s="7" t="s">
        <v>311</v>
      </c>
      <c r="J37" s="7" t="s">
        <v>188</v>
      </c>
      <c r="K37" s="7" t="s">
        <v>312</v>
      </c>
      <c r="L37" s="7" t="s">
        <v>313</v>
      </c>
      <c r="M37" s="7" t="s">
        <v>177</v>
      </c>
      <c r="N37" s="7" t="s">
        <v>189</v>
      </c>
      <c r="O37" s="7" t="s">
        <v>192</v>
      </c>
    </row>
    <row r="38" customFormat="false" ht="15" hidden="false" customHeight="false" outlineLevel="0" collapsed="false">
      <c r="A38" s="31" t="s">
        <v>314</v>
      </c>
      <c r="B38" s="9" t="s">
        <v>321</v>
      </c>
      <c r="C38" s="14" t="str">
        <f aca="false">'Regular Finish – Top 3'!B25</f>
        <v>120 ml</v>
      </c>
      <c r="D38" s="31" t="s">
        <v>322</v>
      </c>
      <c r="E38" s="50" t="n">
        <f aca="false">'Regular Finish – Top 3'!I25+'Regular Finish – Top 3'!K25</f>
        <v>0.44</v>
      </c>
      <c r="F38" s="51" t="n">
        <f aca="false">'Regular Finish – Top 3'!L25</f>
        <v>1.38</v>
      </c>
      <c r="G38" s="23" t="n">
        <f aca="false">E38*F38*(1+Inputs!$B$29)</f>
        <v>0.6072</v>
      </c>
      <c r="H38" s="23" t="n">
        <v>0</v>
      </c>
      <c r="I38" s="23" t="n">
        <f aca="false">(Inputs!$B$25+Inputs!$B$26)/(2*Inputs!$B$5)</f>
        <v>0.52</v>
      </c>
      <c r="J38" s="40" t="n">
        <f aca="false">G38+H38+I38</f>
        <v>1.1272</v>
      </c>
      <c r="K38" s="23" t="n">
        <v>0</v>
      </c>
      <c r="L38" s="40" t="n">
        <f aca="false">J38+K38</f>
        <v>1.1272</v>
      </c>
      <c r="M38" s="36" t="n">
        <f aca="false">Inputs!$B$5</f>
        <v>2000</v>
      </c>
      <c r="N38" s="41" t="n">
        <f aca="false">J38*M38</f>
        <v>2254.4</v>
      </c>
      <c r="O38" s="41" t="n">
        <f aca="false">L38*M38</f>
        <v>2254.4</v>
      </c>
    </row>
    <row r="39" customFormat="false" ht="15" hidden="false" customHeight="false" outlineLevel="0" collapsed="false">
      <c r="A39" s="31" t="s">
        <v>317</v>
      </c>
      <c r="B39" s="9" t="s">
        <v>321</v>
      </c>
      <c r="C39" s="14" t="str">
        <f aca="false">'Regular Finish – Top 3'!B26</f>
        <v>180–190 ml</v>
      </c>
      <c r="D39" s="31" t="s">
        <v>322</v>
      </c>
      <c r="E39" s="50" t="n">
        <f aca="false">'Regular Finish – Top 3'!I26+'Regular Finish – Top 3'!K26</f>
        <v>0.44</v>
      </c>
      <c r="F39" s="51" t="n">
        <f aca="false">'Regular Finish – Top 3'!L26</f>
        <v>1.38</v>
      </c>
      <c r="G39" s="23" t="n">
        <f aca="false">E39*F39*(1+Inputs!$B$29)</f>
        <v>0.6072</v>
      </c>
      <c r="H39" s="23" t="n">
        <v>0</v>
      </c>
      <c r="I39" s="23" t="n">
        <f aca="false">(Inputs!$B$25+Inputs!$B$26)/(2*Inputs!$B$5)</f>
        <v>0.52</v>
      </c>
      <c r="J39" s="40" t="n">
        <f aca="false">G39+H39+I39</f>
        <v>1.1272</v>
      </c>
      <c r="K39" s="23" t="n">
        <v>0</v>
      </c>
      <c r="L39" s="40" t="n">
        <f aca="false">J39+K39</f>
        <v>1.1272</v>
      </c>
      <c r="M39" s="36" t="n">
        <f aca="false">Inputs!$B$5</f>
        <v>2000</v>
      </c>
      <c r="N39" s="41" t="n">
        <f aca="false">J39*M39</f>
        <v>2254.4</v>
      </c>
      <c r="O39" s="41" t="n">
        <f aca="false">L39*M39</f>
        <v>2254.4</v>
      </c>
    </row>
    <row r="40" customFormat="false" ht="15" hidden="false" customHeight="false" outlineLevel="0" collapsed="false">
      <c r="A40" s="31" t="s">
        <v>318</v>
      </c>
      <c r="B40" s="9" t="s">
        <v>323</v>
      </c>
      <c r="C40" s="14" t="str">
        <f aca="false">'Regular Finish – Top 3'!B9</f>
        <v>9 oz</v>
      </c>
      <c r="D40" s="31" t="s">
        <v>316</v>
      </c>
      <c r="E40" s="50" t="n">
        <f aca="false">'Regular Finish – Top 3'!I9+'Regular Finish – Top 3'!K9</f>
        <v>0.586666666666667</v>
      </c>
      <c r="F40" s="51" t="n">
        <f aca="false">'Regular Finish – Top 3'!L9</f>
        <v>1.38</v>
      </c>
      <c r="G40" s="23" t="n">
        <f aca="false">E40*F40*(1+Inputs!$B$29)</f>
        <v>0.8096</v>
      </c>
      <c r="H40" s="23" t="n">
        <v>0</v>
      </c>
      <c r="I40" s="23" t="n">
        <f aca="false">(Inputs!$B$21*Inputs!$B$7+Inputs!$B$22)/Inputs!$B$5</f>
        <v>0.3635</v>
      </c>
      <c r="J40" s="40" t="n">
        <f aca="false">G40+H40+I40</f>
        <v>1.1731</v>
      </c>
      <c r="K40" s="23" t="n">
        <f aca="false">G40*Inputs!$B$30</f>
        <v>0.4048</v>
      </c>
      <c r="L40" s="40" t="n">
        <f aca="false">J40+K40</f>
        <v>1.5779</v>
      </c>
      <c r="M40" s="36" t="n">
        <f aca="false">Inputs!$B$5</f>
        <v>2000</v>
      </c>
      <c r="N40" s="41" t="n">
        <f aca="false">J40*M40</f>
        <v>2346.2</v>
      </c>
      <c r="O40" s="41" t="n">
        <f aca="false">L40*M40</f>
        <v>3155.8</v>
      </c>
    </row>
    <row r="41" customFormat="false" ht="15" hidden="false" customHeight="false" outlineLevel="0" collapsed="false">
      <c r="A41" s="43" t="s">
        <v>319</v>
      </c>
      <c r="B41" s="44"/>
      <c r="C41" s="44"/>
      <c r="D41" s="44"/>
      <c r="E41" s="44"/>
      <c r="F41" s="44"/>
      <c r="G41" s="44"/>
      <c r="H41" s="44"/>
      <c r="I41" s="44"/>
      <c r="J41" s="40" t="n">
        <f aca="false">N41/M41</f>
        <v>1.1425</v>
      </c>
      <c r="K41" s="44"/>
      <c r="L41" s="40" t="n">
        <f aca="false">O41/M41</f>
        <v>1.27743333333333</v>
      </c>
      <c r="M41" s="45" t="n">
        <f aca="false">SUM(M38:M40)</f>
        <v>6000</v>
      </c>
      <c r="N41" s="46" t="n">
        <f aca="false">SUM(N38:N40)</f>
        <v>6855</v>
      </c>
      <c r="O41" s="46" t="n">
        <f aca="false">SUM(O38:O40)</f>
        <v>7664.6</v>
      </c>
    </row>
    <row r="43" customFormat="false" ht="15" hidden="false" customHeight="false" outlineLevel="0" collapsed="false">
      <c r="A43" s="6" t="s">
        <v>325</v>
      </c>
      <c r="B43" s="6"/>
      <c r="C43" s="6"/>
      <c r="D43" s="6"/>
      <c r="E43" s="6"/>
      <c r="F43" s="6"/>
      <c r="G43" s="6"/>
      <c r="H43" s="6"/>
      <c r="I43" s="6"/>
      <c r="J43" s="6"/>
      <c r="K43" s="6"/>
      <c r="L43" s="6"/>
      <c r="M43" s="6"/>
      <c r="N43" s="6"/>
      <c r="O43" s="6"/>
    </row>
    <row r="44" customFormat="false" ht="42" hidden="false" customHeight="true" outlineLevel="0" collapsed="false">
      <c r="A44" s="7" t="s">
        <v>173</v>
      </c>
      <c r="B44" s="7" t="s">
        <v>305</v>
      </c>
      <c r="C44" s="7" t="s">
        <v>136</v>
      </c>
      <c r="D44" s="7" t="s">
        <v>306</v>
      </c>
      <c r="E44" s="7" t="s">
        <v>307</v>
      </c>
      <c r="F44" s="7" t="s">
        <v>308</v>
      </c>
      <c r="G44" s="7" t="s">
        <v>309</v>
      </c>
      <c r="H44" s="7" t="s">
        <v>310</v>
      </c>
      <c r="I44" s="7" t="s">
        <v>311</v>
      </c>
      <c r="J44" s="7" t="s">
        <v>188</v>
      </c>
      <c r="K44" s="7" t="s">
        <v>312</v>
      </c>
      <c r="L44" s="7" t="s">
        <v>313</v>
      </c>
      <c r="M44" s="7" t="s">
        <v>177</v>
      </c>
      <c r="N44" s="7" t="s">
        <v>189</v>
      </c>
      <c r="O44" s="7" t="s">
        <v>192</v>
      </c>
    </row>
    <row r="45" customFormat="false" ht="15" hidden="false" customHeight="false" outlineLevel="0" collapsed="false">
      <c r="A45" s="31" t="s">
        <v>314</v>
      </c>
      <c r="B45" s="9" t="s">
        <v>321</v>
      </c>
      <c r="C45" s="14" t="str">
        <f aca="false">'Regular Finish – Top 3'!B25</f>
        <v>120 ml</v>
      </c>
      <c r="D45" s="31" t="s">
        <v>322</v>
      </c>
      <c r="E45" s="50" t="n">
        <f aca="false">'Regular Finish – Top 3'!I25+'Regular Finish – Top 3'!K25</f>
        <v>0.44</v>
      </c>
      <c r="F45" s="51" t="n">
        <f aca="false">'Regular Finish – Top 3'!L25</f>
        <v>1.38</v>
      </c>
      <c r="G45" s="23" t="n">
        <f aca="false">E45*F45*(1+Inputs!$B$29)</f>
        <v>0.6072</v>
      </c>
      <c r="H45" s="23" t="n">
        <v>0</v>
      </c>
      <c r="I45" s="23" t="n">
        <f aca="false">(Inputs!$B$25+Inputs!$B$26)/(2*Inputs!$B$5)</f>
        <v>0.52</v>
      </c>
      <c r="J45" s="40" t="n">
        <f aca="false">G45+H45+I45</f>
        <v>1.1272</v>
      </c>
      <c r="K45" s="23" t="n">
        <v>0</v>
      </c>
      <c r="L45" s="40" t="n">
        <f aca="false">J45+K45</f>
        <v>1.1272</v>
      </c>
      <c r="M45" s="36" t="n">
        <f aca="false">Inputs!$B$5</f>
        <v>2000</v>
      </c>
      <c r="N45" s="41" t="n">
        <f aca="false">J45*M45</f>
        <v>2254.4</v>
      </c>
      <c r="O45" s="41" t="n">
        <f aca="false">L45*M45</f>
        <v>2254.4</v>
      </c>
    </row>
    <row r="46" customFormat="false" ht="15" hidden="false" customHeight="false" outlineLevel="0" collapsed="false">
      <c r="A46" s="31" t="s">
        <v>317</v>
      </c>
      <c r="B46" s="9" t="s">
        <v>321</v>
      </c>
      <c r="C46" s="14" t="str">
        <f aca="false">'Regular Finish – Top 3'!B26</f>
        <v>180–190 ml</v>
      </c>
      <c r="D46" s="31" t="s">
        <v>322</v>
      </c>
      <c r="E46" s="50" t="n">
        <f aca="false">'Regular Finish – Top 3'!I26+'Regular Finish – Top 3'!K26</f>
        <v>0.44</v>
      </c>
      <c r="F46" s="51" t="n">
        <f aca="false">'Regular Finish – Top 3'!L26</f>
        <v>1.38</v>
      </c>
      <c r="G46" s="23" t="n">
        <f aca="false">E46*F46*(1+Inputs!$B$29)</f>
        <v>0.6072</v>
      </c>
      <c r="H46" s="23" t="n">
        <v>0</v>
      </c>
      <c r="I46" s="23" t="n">
        <f aca="false">(Inputs!$B$25+Inputs!$B$26)/(2*Inputs!$B$5)</f>
        <v>0.52</v>
      </c>
      <c r="J46" s="40" t="n">
        <f aca="false">G46+H46+I46</f>
        <v>1.1272</v>
      </c>
      <c r="K46" s="23" t="n">
        <v>0</v>
      </c>
      <c r="L46" s="40" t="n">
        <f aca="false">J46+K46</f>
        <v>1.1272</v>
      </c>
      <c r="M46" s="36" t="n">
        <f aca="false">Inputs!$B$5</f>
        <v>2000</v>
      </c>
      <c r="N46" s="41" t="n">
        <f aca="false">J46*M46</f>
        <v>2254.4</v>
      </c>
      <c r="O46" s="41" t="n">
        <f aca="false">L46*M46</f>
        <v>2254.4</v>
      </c>
    </row>
    <row r="47" customFormat="false" ht="15" hidden="false" customHeight="false" outlineLevel="0" collapsed="false">
      <c r="A47" s="31" t="s">
        <v>318</v>
      </c>
      <c r="B47" s="9" t="s">
        <v>326</v>
      </c>
      <c r="C47" s="14" t="str">
        <f aca="false">'Regular Finish – Top 3'!B36</f>
        <v>9 oz</v>
      </c>
      <c r="D47" s="31" t="s">
        <v>327</v>
      </c>
      <c r="E47" s="50" t="n">
        <f aca="false">'Regular Finish – Top 3'!I36+'Regular Finish – Top 3'!K36</f>
        <v>1.24</v>
      </c>
      <c r="F47" s="51" t="n">
        <f aca="false">'Regular Finish – Top 3'!L36</f>
        <v>1</v>
      </c>
      <c r="G47" s="23" t="n">
        <f aca="false">E47*F47*(1+Inputs!$B$29)</f>
        <v>1.24</v>
      </c>
      <c r="H47" s="23" t="n">
        <v>0</v>
      </c>
      <c r="I47" s="23" t="n">
        <f aca="false">Inputs!$B$23/Inputs!$B$5</f>
        <v>0.15</v>
      </c>
      <c r="J47" s="40" t="n">
        <f aca="false">G47+H47+I47</f>
        <v>1.39</v>
      </c>
      <c r="K47" s="23" t="n">
        <v>0</v>
      </c>
      <c r="L47" s="40" t="n">
        <f aca="false">J47+K47</f>
        <v>1.39</v>
      </c>
      <c r="M47" s="36" t="n">
        <f aca="false">Inputs!$B$5</f>
        <v>2000</v>
      </c>
      <c r="N47" s="41" t="n">
        <f aca="false">J47*M47</f>
        <v>2780</v>
      </c>
      <c r="O47" s="41" t="n">
        <f aca="false">L47*M47</f>
        <v>2780</v>
      </c>
    </row>
    <row r="48" customFormat="false" ht="15" hidden="false" customHeight="false" outlineLevel="0" collapsed="false">
      <c r="A48" s="43" t="s">
        <v>319</v>
      </c>
      <c r="B48" s="44"/>
      <c r="C48" s="44"/>
      <c r="D48" s="44"/>
      <c r="E48" s="44"/>
      <c r="F48" s="44"/>
      <c r="G48" s="44"/>
      <c r="H48" s="44"/>
      <c r="I48" s="44"/>
      <c r="J48" s="40" t="n">
        <f aca="false">N48/M48</f>
        <v>1.2148</v>
      </c>
      <c r="K48" s="44"/>
      <c r="L48" s="40" t="n">
        <f aca="false">O48/M48</f>
        <v>1.2148</v>
      </c>
      <c r="M48" s="45" t="n">
        <f aca="false">SUM(M45:M47)</f>
        <v>6000</v>
      </c>
      <c r="N48" s="46" t="n">
        <f aca="false">SUM(N45:N47)</f>
        <v>7288.8</v>
      </c>
      <c r="O48" s="46" t="n">
        <f aca="false">SUM(O45:O47)</f>
        <v>7288.8</v>
      </c>
    </row>
    <row r="50" customFormat="false" ht="15" hidden="false" customHeight="false" outlineLevel="0" collapsed="false">
      <c r="A50" s="6" t="s">
        <v>328</v>
      </c>
      <c r="B50" s="6"/>
      <c r="C50" s="6"/>
      <c r="D50" s="6"/>
      <c r="E50" s="6"/>
      <c r="F50" s="6"/>
      <c r="G50" s="6"/>
      <c r="H50" s="6"/>
      <c r="I50" s="6"/>
      <c r="J50" s="6"/>
      <c r="K50" s="6"/>
      <c r="L50" s="6"/>
      <c r="M50" s="6"/>
      <c r="N50" s="6"/>
      <c r="O50" s="6"/>
    </row>
    <row r="51" customFormat="false" ht="42" hidden="false" customHeight="true" outlineLevel="0" collapsed="false">
      <c r="A51" s="7" t="s">
        <v>173</v>
      </c>
      <c r="B51" s="7" t="s">
        <v>305</v>
      </c>
      <c r="C51" s="7" t="s">
        <v>136</v>
      </c>
      <c r="D51" s="7" t="s">
        <v>306</v>
      </c>
      <c r="E51" s="7" t="s">
        <v>307</v>
      </c>
      <c r="F51" s="7" t="s">
        <v>308</v>
      </c>
      <c r="G51" s="7" t="s">
        <v>309</v>
      </c>
      <c r="H51" s="7" t="s">
        <v>310</v>
      </c>
      <c r="I51" s="7" t="s">
        <v>311</v>
      </c>
      <c r="J51" s="7" t="s">
        <v>188</v>
      </c>
      <c r="K51" s="7" t="s">
        <v>312</v>
      </c>
      <c r="L51" s="7" t="s">
        <v>313</v>
      </c>
      <c r="M51" s="7" t="s">
        <v>177</v>
      </c>
      <c r="N51" s="7" t="s">
        <v>189</v>
      </c>
      <c r="O51" s="7" t="s">
        <v>192</v>
      </c>
    </row>
    <row r="52" customFormat="false" ht="15" hidden="false" customHeight="false" outlineLevel="0" collapsed="false">
      <c r="A52" s="31" t="s">
        <v>314</v>
      </c>
      <c r="B52" s="9" t="s">
        <v>321</v>
      </c>
      <c r="C52" s="14" t="str">
        <f aca="false">'Regular Finish – Top 3'!B25</f>
        <v>120 ml</v>
      </c>
      <c r="D52" s="31" t="s">
        <v>322</v>
      </c>
      <c r="E52" s="50" t="n">
        <f aca="false">'Regular Finish – Top 3'!I25+'Regular Finish – Top 3'!K25</f>
        <v>0.44</v>
      </c>
      <c r="F52" s="51" t="n">
        <f aca="false">'Regular Finish – Top 3'!L25</f>
        <v>1.38</v>
      </c>
      <c r="G52" s="23" t="n">
        <f aca="false">E52*F52*(1+Inputs!$B$29)</f>
        <v>0.6072</v>
      </c>
      <c r="H52" s="23" t="n">
        <v>0</v>
      </c>
      <c r="I52" s="23" t="n">
        <f aca="false">(Inputs!$B$18+Inputs!$B$26)/(Inputs!$B$5*Inputs!$B$6)</f>
        <v>0.413333333333333</v>
      </c>
      <c r="J52" s="40" t="n">
        <f aca="false">G52+H52+I52</f>
        <v>1.02053333333333</v>
      </c>
      <c r="K52" s="23" t="n">
        <v>0</v>
      </c>
      <c r="L52" s="40" t="n">
        <f aca="false">J52+K52</f>
        <v>1.02053333333333</v>
      </c>
      <c r="M52" s="36" t="n">
        <f aca="false">Inputs!$B$5</f>
        <v>2000</v>
      </c>
      <c r="N52" s="41" t="n">
        <f aca="false">J52*M52</f>
        <v>2041.06666666667</v>
      </c>
      <c r="O52" s="41" t="n">
        <f aca="false">L52*M52</f>
        <v>2041.06666666667</v>
      </c>
    </row>
    <row r="53" customFormat="false" ht="15" hidden="false" customHeight="false" outlineLevel="0" collapsed="false">
      <c r="A53" s="31" t="s">
        <v>317</v>
      </c>
      <c r="B53" s="9" t="s">
        <v>321</v>
      </c>
      <c r="C53" s="14" t="str">
        <f aca="false">'Regular Finish – Top 3'!B26</f>
        <v>180–190 ml</v>
      </c>
      <c r="D53" s="31" t="s">
        <v>322</v>
      </c>
      <c r="E53" s="50" t="n">
        <f aca="false">'Regular Finish – Top 3'!I26+'Regular Finish – Top 3'!K26</f>
        <v>0.44</v>
      </c>
      <c r="F53" s="51" t="n">
        <f aca="false">'Regular Finish – Top 3'!L26</f>
        <v>1.38</v>
      </c>
      <c r="G53" s="23" t="n">
        <f aca="false">E53*F53*(1+Inputs!$B$29)</f>
        <v>0.6072</v>
      </c>
      <c r="H53" s="23" t="n">
        <v>0</v>
      </c>
      <c r="I53" s="23" t="n">
        <f aca="false">(Inputs!$B$18+Inputs!$B$26)/(Inputs!$B$5*Inputs!$B$6)</f>
        <v>0.413333333333333</v>
      </c>
      <c r="J53" s="40" t="n">
        <f aca="false">G53+H53+I53</f>
        <v>1.02053333333333</v>
      </c>
      <c r="K53" s="23" t="n">
        <v>0</v>
      </c>
      <c r="L53" s="40" t="n">
        <f aca="false">J53+K53</f>
        <v>1.02053333333333</v>
      </c>
      <c r="M53" s="36" t="n">
        <f aca="false">Inputs!$B$5</f>
        <v>2000</v>
      </c>
      <c r="N53" s="41" t="n">
        <f aca="false">J53*M53</f>
        <v>2041.06666666667</v>
      </c>
      <c r="O53" s="41" t="n">
        <f aca="false">L53*M53</f>
        <v>2041.06666666667</v>
      </c>
    </row>
    <row r="54" customFormat="false" ht="15" hidden="false" customHeight="false" outlineLevel="0" collapsed="false">
      <c r="A54" s="31" t="s">
        <v>318</v>
      </c>
      <c r="B54" s="9" t="s">
        <v>321</v>
      </c>
      <c r="C54" s="14" t="str">
        <f aca="false">'Regular Finish – Top 3'!B27</f>
        <v>250–270 ml</v>
      </c>
      <c r="D54" s="31" t="s">
        <v>322</v>
      </c>
      <c r="E54" s="50" t="n">
        <f aca="false">'Regular Finish – Top 3'!I27+'Regular Finish – Top 3'!K27</f>
        <v>0.46</v>
      </c>
      <c r="F54" s="51" t="n">
        <f aca="false">'Regular Finish – Top 3'!L27</f>
        <v>1.38</v>
      </c>
      <c r="G54" s="23" t="n">
        <f aca="false">E54*F54*(1+Inputs!$B$29)</f>
        <v>0.6348</v>
      </c>
      <c r="H54" s="23" t="n">
        <v>0</v>
      </c>
      <c r="I54" s="23" t="n">
        <f aca="false">(Inputs!$B$18+Inputs!$B$26)/(Inputs!$B$5*Inputs!$B$6)</f>
        <v>0.413333333333333</v>
      </c>
      <c r="J54" s="40" t="n">
        <f aca="false">G54+H54+I54</f>
        <v>1.04813333333333</v>
      </c>
      <c r="K54" s="23" t="n">
        <v>0</v>
      </c>
      <c r="L54" s="40" t="n">
        <f aca="false">J54+K54</f>
        <v>1.04813333333333</v>
      </c>
      <c r="M54" s="36" t="n">
        <f aca="false">Inputs!$B$5</f>
        <v>2000</v>
      </c>
      <c r="N54" s="41" t="n">
        <f aca="false">J54*M54</f>
        <v>2096.26666666667</v>
      </c>
      <c r="O54" s="41" t="n">
        <f aca="false">L54*M54</f>
        <v>2096.26666666667</v>
      </c>
    </row>
    <row r="55" customFormat="false" ht="15" hidden="false" customHeight="false" outlineLevel="0" collapsed="false">
      <c r="A55" s="43" t="s">
        <v>319</v>
      </c>
      <c r="B55" s="44"/>
      <c r="C55" s="44"/>
      <c r="D55" s="44"/>
      <c r="E55" s="44"/>
      <c r="F55" s="44"/>
      <c r="G55" s="44"/>
      <c r="H55" s="44"/>
      <c r="I55" s="44"/>
      <c r="J55" s="40" t="n">
        <f aca="false">N55/M55</f>
        <v>1.02973333333333</v>
      </c>
      <c r="K55" s="44"/>
      <c r="L55" s="40" t="n">
        <f aca="false">O55/M55</f>
        <v>1.02973333333333</v>
      </c>
      <c r="M55" s="45" t="n">
        <f aca="false">SUM(M52:M54)</f>
        <v>6000</v>
      </c>
      <c r="N55" s="46" t="n">
        <f aca="false">SUM(N52:N54)</f>
        <v>6178.4</v>
      </c>
      <c r="O55" s="46" t="n">
        <f aca="false">SUM(O52:O54)</f>
        <v>6178.4</v>
      </c>
    </row>
    <row r="57" customFormat="false" ht="15" hidden="false" customHeight="false" outlineLevel="0" collapsed="false">
      <c r="A57" s="49" t="s">
        <v>329</v>
      </c>
    </row>
    <row r="58" customFormat="false" ht="15" hidden="false" customHeight="false" outlineLevel="0" collapsed="false">
      <c r="A58" s="6" t="s">
        <v>330</v>
      </c>
      <c r="B58" s="6"/>
      <c r="C58" s="6"/>
      <c r="D58" s="6"/>
      <c r="E58" s="6"/>
      <c r="F58" s="6"/>
      <c r="G58" s="6"/>
      <c r="H58" s="6"/>
      <c r="I58" s="6"/>
      <c r="J58" s="6"/>
      <c r="K58" s="6"/>
      <c r="L58" s="6"/>
      <c r="M58" s="6"/>
      <c r="N58" s="6"/>
      <c r="O58" s="6"/>
    </row>
    <row r="59" customFormat="false" ht="42" hidden="false" customHeight="true" outlineLevel="0" collapsed="false">
      <c r="A59" s="7" t="s">
        <v>173</v>
      </c>
      <c r="B59" s="7" t="s">
        <v>305</v>
      </c>
      <c r="C59" s="7" t="s">
        <v>136</v>
      </c>
      <c r="D59" s="7" t="s">
        <v>306</v>
      </c>
      <c r="E59" s="7" t="s">
        <v>307</v>
      </c>
      <c r="F59" s="7" t="s">
        <v>308</v>
      </c>
      <c r="G59" s="7" t="s">
        <v>309</v>
      </c>
      <c r="H59" s="7" t="s">
        <v>310</v>
      </c>
      <c r="I59" s="7" t="s">
        <v>311</v>
      </c>
      <c r="J59" s="7" t="s">
        <v>188</v>
      </c>
      <c r="K59" s="7" t="s">
        <v>312</v>
      </c>
      <c r="L59" s="7" t="s">
        <v>313</v>
      </c>
      <c r="M59" s="7" t="s">
        <v>177</v>
      </c>
      <c r="N59" s="7" t="s">
        <v>189</v>
      </c>
      <c r="O59" s="7" t="s">
        <v>192</v>
      </c>
    </row>
    <row r="60" customFormat="false" ht="15" hidden="false" customHeight="false" outlineLevel="0" collapsed="false">
      <c r="A60" s="31" t="s">
        <v>314</v>
      </c>
      <c r="B60" s="9" t="s">
        <v>331</v>
      </c>
      <c r="C60" s="14" t="str">
        <f aca="false">'Regular Finish – Top 3'!B7</f>
        <v>4 oz</v>
      </c>
      <c r="D60" s="31" t="s">
        <v>316</v>
      </c>
      <c r="E60" s="50" t="n">
        <f aca="false">'Regular Finish – Top 3'!I7+'Regular Finish – Top 3'!K7</f>
        <v>0.617083333333333</v>
      </c>
      <c r="F60" s="51" t="n">
        <f aca="false">'Regular Finish – Top 3'!L7</f>
        <v>1.38</v>
      </c>
      <c r="G60" s="23" t="n">
        <f aca="false">E60*F60*(1+Inputs!$B$29)</f>
        <v>0.851575</v>
      </c>
      <c r="H60" s="23" t="n">
        <f aca="false">Inputs!$B$33+(Inputs!$B$34*Inputs!$B$6+Inputs!$B$35)/(Inputs!$B$5*Inputs!$B$6)</f>
        <v>0.825</v>
      </c>
      <c r="I60" s="23" t="n">
        <f aca="false">(Inputs!$B$15*Inputs!$B$7+Inputs!$B$16)/(Inputs!$B$5*Inputs!$B$6)</f>
        <v>0.279</v>
      </c>
      <c r="J60" s="40" t="n">
        <f aca="false">G60+H60+I60</f>
        <v>1.955575</v>
      </c>
      <c r="K60" s="23" t="n">
        <f aca="false">G60*Inputs!$B$30</f>
        <v>0.4257875</v>
      </c>
      <c r="L60" s="40" t="n">
        <f aca="false">J60+K60</f>
        <v>2.3813625</v>
      </c>
      <c r="M60" s="36" t="n">
        <f aca="false">Inputs!$B$5</f>
        <v>2000</v>
      </c>
      <c r="N60" s="41" t="n">
        <f aca="false">J60*M60</f>
        <v>3911.15</v>
      </c>
      <c r="O60" s="41" t="n">
        <f aca="false">L60*M60</f>
        <v>4762.725</v>
      </c>
    </row>
    <row r="61" customFormat="false" ht="15" hidden="false" customHeight="false" outlineLevel="0" collapsed="false">
      <c r="A61" s="31" t="s">
        <v>317</v>
      </c>
      <c r="B61" s="9" t="s">
        <v>331</v>
      </c>
      <c r="C61" s="14" t="str">
        <f aca="false">'Regular Finish – Top 3'!B8</f>
        <v>6 oz</v>
      </c>
      <c r="D61" s="31" t="s">
        <v>316</v>
      </c>
      <c r="E61" s="50" t="n">
        <f aca="false">'Regular Finish – Top 3'!I8+'Regular Finish – Top 3'!K8</f>
        <v>0.615833333333333</v>
      </c>
      <c r="F61" s="51" t="n">
        <f aca="false">'Regular Finish – Top 3'!L8</f>
        <v>1.38</v>
      </c>
      <c r="G61" s="23" t="n">
        <f aca="false">E61*F61*(1+Inputs!$B$29)</f>
        <v>0.84985</v>
      </c>
      <c r="H61" s="23" t="n">
        <f aca="false">Inputs!$B$33+(Inputs!$B$34*Inputs!$B$6+Inputs!$B$35)/(Inputs!$B$5*Inputs!$B$6)</f>
        <v>0.825</v>
      </c>
      <c r="I61" s="23" t="n">
        <f aca="false">(Inputs!$B$15*Inputs!$B$7+Inputs!$B$16)/(Inputs!$B$5*Inputs!$B$6)</f>
        <v>0.279</v>
      </c>
      <c r="J61" s="40" t="n">
        <f aca="false">G61+H61+I61</f>
        <v>1.95385</v>
      </c>
      <c r="K61" s="23" t="n">
        <f aca="false">G61*Inputs!$B$30</f>
        <v>0.424925</v>
      </c>
      <c r="L61" s="40" t="n">
        <f aca="false">J61+K61</f>
        <v>2.378775</v>
      </c>
      <c r="M61" s="36" t="n">
        <f aca="false">Inputs!$B$5</f>
        <v>2000</v>
      </c>
      <c r="N61" s="41" t="n">
        <f aca="false">J61*M61</f>
        <v>3907.7</v>
      </c>
      <c r="O61" s="41" t="n">
        <f aca="false">L61*M61</f>
        <v>4757.55</v>
      </c>
    </row>
    <row r="62" customFormat="false" ht="15" hidden="false" customHeight="false" outlineLevel="0" collapsed="false">
      <c r="A62" s="31" t="s">
        <v>318</v>
      </c>
      <c r="B62" s="9" t="s">
        <v>331</v>
      </c>
      <c r="C62" s="14" t="str">
        <f aca="false">'Regular Finish – Top 3'!B9</f>
        <v>9 oz</v>
      </c>
      <c r="D62" s="31" t="s">
        <v>316</v>
      </c>
      <c r="E62" s="50" t="n">
        <f aca="false">'Regular Finish – Top 3'!I9+'Regular Finish – Top 3'!K9</f>
        <v>0.586666666666667</v>
      </c>
      <c r="F62" s="51" t="n">
        <f aca="false">'Regular Finish – Top 3'!L9</f>
        <v>1.38</v>
      </c>
      <c r="G62" s="23" t="n">
        <f aca="false">E62*F62*(1+Inputs!$B$29)</f>
        <v>0.8096</v>
      </c>
      <c r="H62" s="23" t="n">
        <f aca="false">Inputs!$B$33+(Inputs!$B$34*Inputs!$B$6+Inputs!$B$35)/(Inputs!$B$5*Inputs!$B$6)</f>
        <v>0.825</v>
      </c>
      <c r="I62" s="23" t="n">
        <f aca="false">(Inputs!$B$15*Inputs!$B$7+Inputs!$B$16)/(Inputs!$B$5*Inputs!$B$6)</f>
        <v>0.279</v>
      </c>
      <c r="J62" s="40" t="n">
        <f aca="false">G62+H62+I62</f>
        <v>1.9136</v>
      </c>
      <c r="K62" s="23" t="n">
        <f aca="false">G62*Inputs!$B$30</f>
        <v>0.4048</v>
      </c>
      <c r="L62" s="40" t="n">
        <f aca="false">J62+K62</f>
        <v>2.3184</v>
      </c>
      <c r="M62" s="36" t="n">
        <f aca="false">Inputs!$B$5</f>
        <v>2000</v>
      </c>
      <c r="N62" s="41" t="n">
        <f aca="false">J62*M62</f>
        <v>3827.2</v>
      </c>
      <c r="O62" s="41" t="n">
        <f aca="false">L62*M62</f>
        <v>4636.8</v>
      </c>
    </row>
    <row r="63" customFormat="false" ht="15" hidden="false" customHeight="false" outlineLevel="0" collapsed="false">
      <c r="A63" s="43" t="s">
        <v>319</v>
      </c>
      <c r="B63" s="44"/>
      <c r="C63" s="44"/>
      <c r="D63" s="44"/>
      <c r="E63" s="44"/>
      <c r="F63" s="44"/>
      <c r="G63" s="44"/>
      <c r="H63" s="44"/>
      <c r="I63" s="44"/>
      <c r="J63" s="40" t="n">
        <f aca="false">N63/M63</f>
        <v>1.94100833333333</v>
      </c>
      <c r="K63" s="44"/>
      <c r="L63" s="40" t="n">
        <f aca="false">O63/M63</f>
        <v>2.3595125</v>
      </c>
      <c r="M63" s="45" t="n">
        <f aca="false">SUM(M60:M62)</f>
        <v>6000</v>
      </c>
      <c r="N63" s="46" t="n">
        <f aca="false">SUM(N60:N62)</f>
        <v>11646.05</v>
      </c>
      <c r="O63" s="46" t="n">
        <f aca="false">SUM(O60:O62)</f>
        <v>14157.075</v>
      </c>
    </row>
    <row r="65" customFormat="false" ht="15" hidden="false" customHeight="false" outlineLevel="0" collapsed="false">
      <c r="A65" s="6" t="s">
        <v>332</v>
      </c>
      <c r="B65" s="6"/>
      <c r="C65" s="6"/>
      <c r="D65" s="6"/>
      <c r="E65" s="6"/>
      <c r="F65" s="6"/>
      <c r="G65" s="6"/>
      <c r="H65" s="6"/>
      <c r="I65" s="6"/>
      <c r="J65" s="6"/>
      <c r="K65" s="6"/>
      <c r="L65" s="6"/>
      <c r="M65" s="6"/>
      <c r="N65" s="6"/>
      <c r="O65" s="6"/>
    </row>
    <row r="66" customFormat="false" ht="42" hidden="false" customHeight="true" outlineLevel="0" collapsed="false">
      <c r="A66" s="7" t="s">
        <v>173</v>
      </c>
      <c r="B66" s="7" t="s">
        <v>305</v>
      </c>
      <c r="C66" s="7" t="s">
        <v>136</v>
      </c>
      <c r="D66" s="7" t="s">
        <v>306</v>
      </c>
      <c r="E66" s="7" t="s">
        <v>307</v>
      </c>
      <c r="F66" s="7" t="s">
        <v>308</v>
      </c>
      <c r="G66" s="7" t="s">
        <v>309</v>
      </c>
      <c r="H66" s="7" t="s">
        <v>310</v>
      </c>
      <c r="I66" s="7" t="s">
        <v>311</v>
      </c>
      <c r="J66" s="7" t="s">
        <v>188</v>
      </c>
      <c r="K66" s="7" t="s">
        <v>312</v>
      </c>
      <c r="L66" s="7" t="s">
        <v>313</v>
      </c>
      <c r="M66" s="7" t="s">
        <v>177</v>
      </c>
      <c r="N66" s="7" t="s">
        <v>189</v>
      </c>
      <c r="O66" s="7" t="s">
        <v>192</v>
      </c>
    </row>
    <row r="67" customFormat="false" ht="15" hidden="false" customHeight="false" outlineLevel="0" collapsed="false">
      <c r="A67" s="31" t="s">
        <v>314</v>
      </c>
      <c r="B67" s="9" t="s">
        <v>333</v>
      </c>
      <c r="C67" s="14" t="str">
        <f aca="false">'Frosted Finish – Top 3'!B7</f>
        <v>120 ml</v>
      </c>
      <c r="D67" s="31" t="s">
        <v>322</v>
      </c>
      <c r="E67" s="50" t="n">
        <f aca="false">'Frosted Finish – Top 3'!I7+'Frosted Finish – Top 3'!K7</f>
        <v>0.5</v>
      </c>
      <c r="F67" s="51" t="n">
        <f aca="false">'Frosted Finish – Top 3'!L7</f>
        <v>1.38</v>
      </c>
      <c r="G67" s="23" t="n">
        <f aca="false">E67*F67*(1+Inputs!$B$29)</f>
        <v>0.69</v>
      </c>
      <c r="H67" s="23" t="n">
        <v>0</v>
      </c>
      <c r="I67" s="23" t="n">
        <f aca="false">(Inputs!$B$24+Inputs!$B$26)/(2*Inputs!$B$5)</f>
        <v>0.545</v>
      </c>
      <c r="J67" s="40" t="n">
        <f aca="false">G67+H67+I67</f>
        <v>1.235</v>
      </c>
      <c r="K67" s="23" t="n">
        <v>0</v>
      </c>
      <c r="L67" s="40" t="n">
        <f aca="false">J67+K67</f>
        <v>1.235</v>
      </c>
      <c r="M67" s="36" t="n">
        <f aca="false">Inputs!$B$5</f>
        <v>2000</v>
      </c>
      <c r="N67" s="41" t="n">
        <f aca="false">J67*M67</f>
        <v>2470</v>
      </c>
      <c r="O67" s="41" t="n">
        <f aca="false">L67*M67</f>
        <v>2470</v>
      </c>
    </row>
    <row r="68" customFormat="false" ht="15" hidden="false" customHeight="false" outlineLevel="0" collapsed="false">
      <c r="A68" s="31" t="s">
        <v>317</v>
      </c>
      <c r="B68" s="9" t="s">
        <v>334</v>
      </c>
      <c r="C68" s="14" t="str">
        <f aca="false">'Regular Finish – Top 3'!B8</f>
        <v>6 oz</v>
      </c>
      <c r="D68" s="31" t="s">
        <v>316</v>
      </c>
      <c r="E68" s="50" t="n">
        <f aca="false">'Regular Finish – Top 3'!I8+'Regular Finish – Top 3'!K8</f>
        <v>0.615833333333333</v>
      </c>
      <c r="F68" s="51" t="n">
        <f aca="false">'Regular Finish – Top 3'!L8</f>
        <v>1.38</v>
      </c>
      <c r="G68" s="23" t="n">
        <f aca="false">E68*F68*(1+Inputs!$B$29)</f>
        <v>0.84985</v>
      </c>
      <c r="H68" s="23" t="n">
        <f aca="false">Inputs!$B$33+(Inputs!$B$34+Inputs!$B$35)/Inputs!$B$5</f>
        <v>0.925</v>
      </c>
      <c r="I68" s="23" t="n">
        <f aca="false">(Inputs!$B$21*Inputs!$B$7+Inputs!$B$22)/Inputs!$B$5</f>
        <v>0.3635</v>
      </c>
      <c r="J68" s="40" t="n">
        <f aca="false">G68+H68+I68</f>
        <v>2.13835</v>
      </c>
      <c r="K68" s="23" t="n">
        <f aca="false">G68*Inputs!$B$30</f>
        <v>0.424925</v>
      </c>
      <c r="L68" s="40" t="n">
        <f aca="false">J68+K68</f>
        <v>2.563275</v>
      </c>
      <c r="M68" s="36" t="n">
        <f aca="false">Inputs!$B$5</f>
        <v>2000</v>
      </c>
      <c r="N68" s="41" t="n">
        <f aca="false">J68*M68</f>
        <v>4276.7</v>
      </c>
      <c r="O68" s="41" t="n">
        <f aca="false">L68*M68</f>
        <v>5126.55</v>
      </c>
    </row>
    <row r="69" customFormat="false" ht="15" hidden="false" customHeight="false" outlineLevel="0" collapsed="false">
      <c r="A69" s="31" t="s">
        <v>318</v>
      </c>
      <c r="B69" s="9" t="s">
        <v>333</v>
      </c>
      <c r="C69" s="14" t="str">
        <f aca="false">'Frosted Finish – Top 3'!B9</f>
        <v>250–270 ml</v>
      </c>
      <c r="D69" s="31" t="s">
        <v>322</v>
      </c>
      <c r="E69" s="50" t="n">
        <f aca="false">'Frosted Finish – Top 3'!I9+'Frosted Finish – Top 3'!K9</f>
        <v>0.52</v>
      </c>
      <c r="F69" s="51" t="n">
        <f aca="false">'Frosted Finish – Top 3'!L9</f>
        <v>1.38</v>
      </c>
      <c r="G69" s="23" t="n">
        <f aca="false">E69*F69*(1+Inputs!$B$29)</f>
        <v>0.7176</v>
      </c>
      <c r="H69" s="23" t="n">
        <v>0</v>
      </c>
      <c r="I69" s="23" t="n">
        <f aca="false">(Inputs!$B$24+Inputs!$B$26)/(2*Inputs!$B$5)</f>
        <v>0.545</v>
      </c>
      <c r="J69" s="40" t="n">
        <f aca="false">G69+H69+I69</f>
        <v>1.2626</v>
      </c>
      <c r="K69" s="23" t="n">
        <v>0</v>
      </c>
      <c r="L69" s="40" t="n">
        <f aca="false">J69+K69</f>
        <v>1.2626</v>
      </c>
      <c r="M69" s="36" t="n">
        <f aca="false">Inputs!$B$5</f>
        <v>2000</v>
      </c>
      <c r="N69" s="41" t="n">
        <f aca="false">J69*M69</f>
        <v>2525.2</v>
      </c>
      <c r="O69" s="41" t="n">
        <f aca="false">L69*M69</f>
        <v>2525.2</v>
      </c>
    </row>
    <row r="70" customFormat="false" ht="15" hidden="false" customHeight="false" outlineLevel="0" collapsed="false">
      <c r="A70" s="43" t="s">
        <v>319</v>
      </c>
      <c r="B70" s="44"/>
      <c r="C70" s="44"/>
      <c r="D70" s="44"/>
      <c r="E70" s="44"/>
      <c r="F70" s="44"/>
      <c r="G70" s="44"/>
      <c r="H70" s="44"/>
      <c r="I70" s="44"/>
      <c r="J70" s="40" t="n">
        <f aca="false">N70/M70</f>
        <v>1.54531666666667</v>
      </c>
      <c r="K70" s="44"/>
      <c r="L70" s="40" t="n">
        <f aca="false">O70/M70</f>
        <v>1.68695833333333</v>
      </c>
      <c r="M70" s="45" t="n">
        <f aca="false">SUM(M67:M69)</f>
        <v>6000</v>
      </c>
      <c r="N70" s="46" t="n">
        <f aca="false">SUM(N67:N69)</f>
        <v>9271.9</v>
      </c>
      <c r="O70" s="46" t="n">
        <f aca="false">SUM(O67:O69)</f>
        <v>10121.75</v>
      </c>
    </row>
    <row r="72" customFormat="false" ht="15" hidden="false" customHeight="false" outlineLevel="0" collapsed="false">
      <c r="A72" s="6" t="s">
        <v>335</v>
      </c>
      <c r="B72" s="6"/>
      <c r="C72" s="6"/>
      <c r="D72" s="6"/>
      <c r="E72" s="6"/>
      <c r="F72" s="6"/>
      <c r="G72" s="6"/>
      <c r="H72" s="6"/>
      <c r="I72" s="6"/>
      <c r="J72" s="6"/>
      <c r="K72" s="6"/>
      <c r="L72" s="6"/>
      <c r="M72" s="6"/>
      <c r="N72" s="6"/>
      <c r="O72" s="6"/>
    </row>
    <row r="73" customFormat="false" ht="42" hidden="false" customHeight="true" outlineLevel="0" collapsed="false">
      <c r="A73" s="7" t="s">
        <v>173</v>
      </c>
      <c r="B73" s="7" t="s">
        <v>305</v>
      </c>
      <c r="C73" s="7" t="s">
        <v>136</v>
      </c>
      <c r="D73" s="7" t="s">
        <v>306</v>
      </c>
      <c r="E73" s="7" t="s">
        <v>307</v>
      </c>
      <c r="F73" s="7" t="s">
        <v>308</v>
      </c>
      <c r="G73" s="7" t="s">
        <v>309</v>
      </c>
      <c r="H73" s="7" t="s">
        <v>310</v>
      </c>
      <c r="I73" s="7" t="s">
        <v>311</v>
      </c>
      <c r="J73" s="7" t="s">
        <v>188</v>
      </c>
      <c r="K73" s="7" t="s">
        <v>312</v>
      </c>
      <c r="L73" s="7" t="s">
        <v>313</v>
      </c>
      <c r="M73" s="7" t="s">
        <v>177</v>
      </c>
      <c r="N73" s="7" t="s">
        <v>189</v>
      </c>
      <c r="O73" s="7" t="s">
        <v>192</v>
      </c>
    </row>
    <row r="74" customFormat="false" ht="15" hidden="false" customHeight="false" outlineLevel="0" collapsed="false">
      <c r="A74" s="31" t="s">
        <v>314</v>
      </c>
      <c r="B74" s="9" t="s">
        <v>333</v>
      </c>
      <c r="C74" s="14" t="str">
        <f aca="false">'Frosted Finish – Top 3'!B7</f>
        <v>120 ml</v>
      </c>
      <c r="D74" s="31" t="s">
        <v>322</v>
      </c>
      <c r="E74" s="50" t="n">
        <f aca="false">'Frosted Finish – Top 3'!I7+'Frosted Finish – Top 3'!K7</f>
        <v>0.5</v>
      </c>
      <c r="F74" s="51" t="n">
        <f aca="false">'Frosted Finish – Top 3'!L7</f>
        <v>1.38</v>
      </c>
      <c r="G74" s="23" t="n">
        <f aca="false">E74*F74*(1+Inputs!$B$29)</f>
        <v>0.69</v>
      </c>
      <c r="H74" s="23" t="n">
        <v>0</v>
      </c>
      <c r="I74" s="23" t="n">
        <f aca="false">(Inputs!$B$25+Inputs!$B$26)/(2*Inputs!$B$5)</f>
        <v>0.52</v>
      </c>
      <c r="J74" s="40" t="n">
        <f aca="false">G74+H74+I74</f>
        <v>1.21</v>
      </c>
      <c r="K74" s="23" t="n">
        <v>0</v>
      </c>
      <c r="L74" s="40" t="n">
        <f aca="false">J74+K74</f>
        <v>1.21</v>
      </c>
      <c r="M74" s="36" t="n">
        <f aca="false">Inputs!$B$5</f>
        <v>2000</v>
      </c>
      <c r="N74" s="41" t="n">
        <f aca="false">J74*M74</f>
        <v>2420</v>
      </c>
      <c r="O74" s="41" t="n">
        <f aca="false">L74*M74</f>
        <v>2420</v>
      </c>
    </row>
    <row r="75" customFormat="false" ht="15" hidden="false" customHeight="false" outlineLevel="0" collapsed="false">
      <c r="A75" s="31" t="s">
        <v>317</v>
      </c>
      <c r="B75" s="9" t="s">
        <v>333</v>
      </c>
      <c r="C75" s="14" t="str">
        <f aca="false">'Frosted Finish – Top 3'!B8</f>
        <v>180–190 ml</v>
      </c>
      <c r="D75" s="31" t="s">
        <v>322</v>
      </c>
      <c r="E75" s="50" t="n">
        <f aca="false">'Frosted Finish – Top 3'!I8+'Frosted Finish – Top 3'!K8</f>
        <v>0.52</v>
      </c>
      <c r="F75" s="51" t="n">
        <f aca="false">'Frosted Finish – Top 3'!L8</f>
        <v>1.38</v>
      </c>
      <c r="G75" s="23" t="n">
        <f aca="false">E75*F75*(1+Inputs!$B$29)</f>
        <v>0.7176</v>
      </c>
      <c r="H75" s="23" t="n">
        <v>0</v>
      </c>
      <c r="I75" s="23" t="n">
        <f aca="false">(Inputs!$B$25+Inputs!$B$26)/(2*Inputs!$B$5)</f>
        <v>0.52</v>
      </c>
      <c r="J75" s="40" t="n">
        <f aca="false">G75+H75+I75</f>
        <v>1.2376</v>
      </c>
      <c r="K75" s="23" t="n">
        <v>0</v>
      </c>
      <c r="L75" s="40" t="n">
        <f aca="false">J75+K75</f>
        <v>1.2376</v>
      </c>
      <c r="M75" s="36" t="n">
        <f aca="false">Inputs!$B$5</f>
        <v>2000</v>
      </c>
      <c r="N75" s="41" t="n">
        <f aca="false">J75*M75</f>
        <v>2475.2</v>
      </c>
      <c r="O75" s="41" t="n">
        <f aca="false">L75*M75</f>
        <v>2475.2</v>
      </c>
    </row>
    <row r="76" customFormat="false" ht="15" hidden="false" customHeight="false" outlineLevel="0" collapsed="false">
      <c r="A76" s="31" t="s">
        <v>318</v>
      </c>
      <c r="B76" s="9" t="s">
        <v>334</v>
      </c>
      <c r="C76" s="14" t="str">
        <f aca="false">'Regular Finish – Top 3'!B9</f>
        <v>9 oz</v>
      </c>
      <c r="D76" s="31" t="s">
        <v>316</v>
      </c>
      <c r="E76" s="50" t="n">
        <f aca="false">'Regular Finish – Top 3'!I9+'Regular Finish – Top 3'!K9</f>
        <v>0.586666666666667</v>
      </c>
      <c r="F76" s="51" t="n">
        <f aca="false">'Regular Finish – Top 3'!L9</f>
        <v>1.38</v>
      </c>
      <c r="G76" s="23" t="n">
        <f aca="false">E76*F76*(1+Inputs!$B$29)</f>
        <v>0.8096</v>
      </c>
      <c r="H76" s="23" t="n">
        <f aca="false">Inputs!$B$33+(Inputs!$B$34+Inputs!$B$35)/Inputs!$B$5</f>
        <v>0.925</v>
      </c>
      <c r="I76" s="23" t="n">
        <f aca="false">(Inputs!$B$21*Inputs!$B$7+Inputs!$B$22)/Inputs!$B$5</f>
        <v>0.3635</v>
      </c>
      <c r="J76" s="40" t="n">
        <f aca="false">G76+H76+I76</f>
        <v>2.0981</v>
      </c>
      <c r="K76" s="23" t="n">
        <f aca="false">G76*Inputs!$B$30</f>
        <v>0.4048</v>
      </c>
      <c r="L76" s="40" t="n">
        <f aca="false">J76+K76</f>
        <v>2.5029</v>
      </c>
      <c r="M76" s="36" t="n">
        <f aca="false">Inputs!$B$5</f>
        <v>2000</v>
      </c>
      <c r="N76" s="41" t="n">
        <f aca="false">J76*M76</f>
        <v>4196.2</v>
      </c>
      <c r="O76" s="41" t="n">
        <f aca="false">L76*M76</f>
        <v>5005.8</v>
      </c>
    </row>
    <row r="77" customFormat="false" ht="15" hidden="false" customHeight="false" outlineLevel="0" collapsed="false">
      <c r="A77" s="43" t="s">
        <v>319</v>
      </c>
      <c r="B77" s="44"/>
      <c r="C77" s="44"/>
      <c r="D77" s="44"/>
      <c r="E77" s="44"/>
      <c r="F77" s="44"/>
      <c r="G77" s="44"/>
      <c r="H77" s="44"/>
      <c r="I77" s="44"/>
      <c r="J77" s="40" t="n">
        <f aca="false">N77/M77</f>
        <v>1.51523333333333</v>
      </c>
      <c r="K77" s="44"/>
      <c r="L77" s="40" t="n">
        <f aca="false">O77/M77</f>
        <v>1.65016666666667</v>
      </c>
      <c r="M77" s="45" t="n">
        <f aca="false">SUM(M74:M76)</f>
        <v>6000</v>
      </c>
      <c r="N77" s="46" t="n">
        <f aca="false">SUM(N74:N76)</f>
        <v>9091.4</v>
      </c>
      <c r="O77" s="46" t="n">
        <f aca="false">SUM(O74:O76)</f>
        <v>9901</v>
      </c>
    </row>
    <row r="79" customFormat="false" ht="15" hidden="false" customHeight="false" outlineLevel="0" collapsed="false">
      <c r="A79" s="6" t="s">
        <v>336</v>
      </c>
      <c r="B79" s="6"/>
      <c r="C79" s="6"/>
      <c r="D79" s="6"/>
      <c r="E79" s="6"/>
      <c r="F79" s="6"/>
      <c r="G79" s="6"/>
      <c r="H79" s="6"/>
      <c r="I79" s="6"/>
      <c r="J79" s="6"/>
      <c r="K79" s="6"/>
      <c r="L79" s="6"/>
      <c r="M79" s="6"/>
      <c r="N79" s="6"/>
      <c r="O79" s="6"/>
    </row>
    <row r="80" customFormat="false" ht="42" hidden="false" customHeight="true" outlineLevel="0" collapsed="false">
      <c r="A80" s="7" t="s">
        <v>173</v>
      </c>
      <c r="B80" s="7" t="s">
        <v>305</v>
      </c>
      <c r="C80" s="7" t="s">
        <v>136</v>
      </c>
      <c r="D80" s="7" t="s">
        <v>306</v>
      </c>
      <c r="E80" s="7" t="s">
        <v>307</v>
      </c>
      <c r="F80" s="7" t="s">
        <v>308</v>
      </c>
      <c r="G80" s="7" t="s">
        <v>309</v>
      </c>
      <c r="H80" s="7" t="s">
        <v>310</v>
      </c>
      <c r="I80" s="7" t="s">
        <v>311</v>
      </c>
      <c r="J80" s="7" t="s">
        <v>188</v>
      </c>
      <c r="K80" s="7" t="s">
        <v>312</v>
      </c>
      <c r="L80" s="7" t="s">
        <v>313</v>
      </c>
      <c r="M80" s="7" t="s">
        <v>177</v>
      </c>
      <c r="N80" s="7" t="s">
        <v>189</v>
      </c>
      <c r="O80" s="7" t="s">
        <v>192</v>
      </c>
    </row>
    <row r="81" customFormat="false" ht="15" hidden="false" customHeight="false" outlineLevel="0" collapsed="false">
      <c r="A81" s="31" t="s">
        <v>314</v>
      </c>
      <c r="B81" s="9" t="s">
        <v>333</v>
      </c>
      <c r="C81" s="14" t="str">
        <f aca="false">'Frosted Finish – Top 3'!B7</f>
        <v>120 ml</v>
      </c>
      <c r="D81" s="31" t="s">
        <v>322</v>
      </c>
      <c r="E81" s="50" t="n">
        <f aca="false">'Frosted Finish – Top 3'!I7+'Frosted Finish – Top 3'!K7</f>
        <v>0.5</v>
      </c>
      <c r="F81" s="51" t="n">
        <f aca="false">'Frosted Finish – Top 3'!L7</f>
        <v>1.38</v>
      </c>
      <c r="G81" s="23" t="n">
        <f aca="false">E81*F81*(1+Inputs!$B$29)</f>
        <v>0.69</v>
      </c>
      <c r="H81" s="23" t="n">
        <v>0</v>
      </c>
      <c r="I81" s="23" t="n">
        <f aca="false">(Inputs!$B$25+Inputs!$B$26)/(2*Inputs!$B$5)</f>
        <v>0.52</v>
      </c>
      <c r="J81" s="40" t="n">
        <f aca="false">G81+H81+I81</f>
        <v>1.21</v>
      </c>
      <c r="K81" s="23" t="n">
        <v>0</v>
      </c>
      <c r="L81" s="40" t="n">
        <f aca="false">J81+K81</f>
        <v>1.21</v>
      </c>
      <c r="M81" s="36" t="n">
        <f aca="false">Inputs!$B$5</f>
        <v>2000</v>
      </c>
      <c r="N81" s="41" t="n">
        <f aca="false">J81*M81</f>
        <v>2420</v>
      </c>
      <c r="O81" s="41" t="n">
        <f aca="false">L81*M81</f>
        <v>2420</v>
      </c>
    </row>
    <row r="82" customFormat="false" ht="15" hidden="false" customHeight="false" outlineLevel="0" collapsed="false">
      <c r="A82" s="31" t="s">
        <v>317</v>
      </c>
      <c r="B82" s="9" t="s">
        <v>333</v>
      </c>
      <c r="C82" s="14" t="str">
        <f aca="false">'Frosted Finish – Top 3'!B8</f>
        <v>180–190 ml</v>
      </c>
      <c r="D82" s="31" t="s">
        <v>322</v>
      </c>
      <c r="E82" s="50" t="n">
        <f aca="false">'Frosted Finish – Top 3'!I8+'Frosted Finish – Top 3'!K8</f>
        <v>0.52</v>
      </c>
      <c r="F82" s="51" t="n">
        <f aca="false">'Frosted Finish – Top 3'!L8</f>
        <v>1.38</v>
      </c>
      <c r="G82" s="23" t="n">
        <f aca="false">E82*F82*(1+Inputs!$B$29)</f>
        <v>0.7176</v>
      </c>
      <c r="H82" s="23" t="n">
        <v>0</v>
      </c>
      <c r="I82" s="23" t="n">
        <f aca="false">(Inputs!$B$25+Inputs!$B$26)/(2*Inputs!$B$5)</f>
        <v>0.52</v>
      </c>
      <c r="J82" s="40" t="n">
        <f aca="false">G82+H82+I82</f>
        <v>1.2376</v>
      </c>
      <c r="K82" s="23" t="n">
        <v>0</v>
      </c>
      <c r="L82" s="40" t="n">
        <f aca="false">J82+K82</f>
        <v>1.2376</v>
      </c>
      <c r="M82" s="36" t="n">
        <f aca="false">Inputs!$B$5</f>
        <v>2000</v>
      </c>
      <c r="N82" s="41" t="n">
        <f aca="false">J82*M82</f>
        <v>2475.2</v>
      </c>
      <c r="O82" s="41" t="n">
        <f aca="false">L82*M82</f>
        <v>2475.2</v>
      </c>
    </row>
    <row r="83" customFormat="false" ht="15" hidden="false" customHeight="false" outlineLevel="0" collapsed="false">
      <c r="A83" s="31" t="s">
        <v>318</v>
      </c>
      <c r="B83" s="9" t="s">
        <v>337</v>
      </c>
      <c r="C83" s="14" t="str">
        <f aca="false">'Frosted Finish – Top 3'!B36</f>
        <v>9 oz</v>
      </c>
      <c r="D83" s="31" t="s">
        <v>316</v>
      </c>
      <c r="E83" s="50" t="n">
        <f aca="false">'Frosted Finish – Top 3'!I36+'Frosted Finish – Top 3'!K36</f>
        <v>1.72</v>
      </c>
      <c r="F83" s="51" t="n">
        <f aca="false">'Frosted Finish – Top 3'!L36</f>
        <v>1.38</v>
      </c>
      <c r="G83" s="23" t="n">
        <f aca="false">E83*F83*(1+Inputs!$B$29)</f>
        <v>2.3736</v>
      </c>
      <c r="H83" s="23" t="n">
        <v>0</v>
      </c>
      <c r="I83" s="23" t="n">
        <f aca="false">(Inputs!$B$21*Inputs!$B$7+Inputs!$B$22)/Inputs!$B$5</f>
        <v>0.3635</v>
      </c>
      <c r="J83" s="40" t="n">
        <f aca="false">G83+H83+I83</f>
        <v>2.7371</v>
      </c>
      <c r="K83" s="23" t="n">
        <f aca="false">G83*Inputs!$B$30</f>
        <v>1.1868</v>
      </c>
      <c r="L83" s="40" t="n">
        <f aca="false">J83+K83</f>
        <v>3.9239</v>
      </c>
      <c r="M83" s="36" t="n">
        <f aca="false">Inputs!$B$5</f>
        <v>2000</v>
      </c>
      <c r="N83" s="41" t="n">
        <f aca="false">J83*M83</f>
        <v>5474.2</v>
      </c>
      <c r="O83" s="41" t="n">
        <f aca="false">L83*M83</f>
        <v>7847.8</v>
      </c>
    </row>
    <row r="84" customFormat="false" ht="15" hidden="false" customHeight="false" outlineLevel="0" collapsed="false">
      <c r="A84" s="43" t="s">
        <v>319</v>
      </c>
      <c r="B84" s="44"/>
      <c r="C84" s="44"/>
      <c r="D84" s="44"/>
      <c r="E84" s="44"/>
      <c r="F84" s="44"/>
      <c r="G84" s="44"/>
      <c r="H84" s="44"/>
      <c r="I84" s="44"/>
      <c r="J84" s="40" t="n">
        <f aca="false">N84/M84</f>
        <v>1.72823333333333</v>
      </c>
      <c r="K84" s="44"/>
      <c r="L84" s="40" t="n">
        <f aca="false">O84/M84</f>
        <v>2.12383333333333</v>
      </c>
      <c r="M84" s="45" t="n">
        <f aca="false">SUM(M81:M83)</f>
        <v>6000</v>
      </c>
      <c r="N84" s="46" t="n">
        <f aca="false">SUM(N81:N83)</f>
        <v>10369.4</v>
      </c>
      <c r="O84" s="46" t="n">
        <f aca="false">SUM(O81:O83)</f>
        <v>12743</v>
      </c>
    </row>
    <row r="86" customFormat="false" ht="15" hidden="false" customHeight="false" outlineLevel="0" collapsed="false">
      <c r="A86" s="6" t="s">
        <v>338</v>
      </c>
      <c r="B86" s="6"/>
      <c r="C86" s="6"/>
      <c r="D86" s="6"/>
      <c r="E86" s="6"/>
      <c r="F86" s="6"/>
      <c r="G86" s="6"/>
      <c r="H86" s="6"/>
      <c r="I86" s="6"/>
      <c r="J86" s="6"/>
      <c r="K86" s="6"/>
      <c r="L86" s="6"/>
      <c r="M86" s="6"/>
      <c r="N86" s="6"/>
      <c r="O86" s="6"/>
    </row>
    <row r="87" customFormat="false" ht="42" hidden="false" customHeight="true" outlineLevel="0" collapsed="false">
      <c r="A87" s="7" t="s">
        <v>173</v>
      </c>
      <c r="B87" s="7" t="s">
        <v>305</v>
      </c>
      <c r="C87" s="7" t="s">
        <v>136</v>
      </c>
      <c r="D87" s="7" t="s">
        <v>306</v>
      </c>
      <c r="E87" s="7" t="s">
        <v>307</v>
      </c>
      <c r="F87" s="7" t="s">
        <v>308</v>
      </c>
      <c r="G87" s="7" t="s">
        <v>309</v>
      </c>
      <c r="H87" s="7" t="s">
        <v>310</v>
      </c>
      <c r="I87" s="7" t="s">
        <v>311</v>
      </c>
      <c r="J87" s="7" t="s">
        <v>188</v>
      </c>
      <c r="K87" s="7" t="s">
        <v>312</v>
      </c>
      <c r="L87" s="7" t="s">
        <v>313</v>
      </c>
      <c r="M87" s="7" t="s">
        <v>177</v>
      </c>
      <c r="N87" s="7" t="s">
        <v>189</v>
      </c>
      <c r="O87" s="7" t="s">
        <v>192</v>
      </c>
    </row>
    <row r="88" customFormat="false" ht="15" hidden="false" customHeight="false" outlineLevel="0" collapsed="false">
      <c r="A88" s="31" t="s">
        <v>314</v>
      </c>
      <c r="B88" s="9" t="s">
        <v>333</v>
      </c>
      <c r="C88" s="14" t="str">
        <f aca="false">'Frosted Finish – Top 3'!B7</f>
        <v>120 ml</v>
      </c>
      <c r="D88" s="31" t="s">
        <v>322</v>
      </c>
      <c r="E88" s="50" t="n">
        <f aca="false">'Frosted Finish – Top 3'!I7+'Frosted Finish – Top 3'!K7</f>
        <v>0.5</v>
      </c>
      <c r="F88" s="51" t="n">
        <f aca="false">'Frosted Finish – Top 3'!L7</f>
        <v>1.38</v>
      </c>
      <c r="G88" s="23" t="n">
        <f aca="false">E88*F88*(1+Inputs!$B$29)</f>
        <v>0.69</v>
      </c>
      <c r="H88" s="23" t="n">
        <v>0</v>
      </c>
      <c r="I88" s="23" t="n">
        <f aca="false">(Inputs!$B$18+Inputs!$B$26)/(Inputs!$B$5*Inputs!$B$6)</f>
        <v>0.413333333333333</v>
      </c>
      <c r="J88" s="40" t="n">
        <f aca="false">G88+H88+I88</f>
        <v>1.10333333333333</v>
      </c>
      <c r="K88" s="23" t="n">
        <v>0</v>
      </c>
      <c r="L88" s="40" t="n">
        <f aca="false">J88+K88</f>
        <v>1.10333333333333</v>
      </c>
      <c r="M88" s="36" t="n">
        <f aca="false">Inputs!$B$5</f>
        <v>2000</v>
      </c>
      <c r="N88" s="41" t="n">
        <f aca="false">J88*M88</f>
        <v>2206.66666666667</v>
      </c>
      <c r="O88" s="41" t="n">
        <f aca="false">L88*M88</f>
        <v>2206.66666666667</v>
      </c>
    </row>
    <row r="89" customFormat="false" ht="15" hidden="false" customHeight="false" outlineLevel="0" collapsed="false">
      <c r="A89" s="31" t="s">
        <v>317</v>
      </c>
      <c r="B89" s="9" t="s">
        <v>333</v>
      </c>
      <c r="C89" s="14" t="str">
        <f aca="false">'Frosted Finish – Top 3'!B8</f>
        <v>180–190 ml</v>
      </c>
      <c r="D89" s="31" t="s">
        <v>322</v>
      </c>
      <c r="E89" s="50" t="n">
        <f aca="false">'Frosted Finish – Top 3'!I8+'Frosted Finish – Top 3'!K8</f>
        <v>0.52</v>
      </c>
      <c r="F89" s="51" t="n">
        <f aca="false">'Frosted Finish – Top 3'!L8</f>
        <v>1.38</v>
      </c>
      <c r="G89" s="23" t="n">
        <f aca="false">E89*F89*(1+Inputs!$B$29)</f>
        <v>0.7176</v>
      </c>
      <c r="H89" s="23" t="n">
        <v>0</v>
      </c>
      <c r="I89" s="23" t="n">
        <f aca="false">(Inputs!$B$18+Inputs!$B$26)/(Inputs!$B$5*Inputs!$B$6)</f>
        <v>0.413333333333333</v>
      </c>
      <c r="J89" s="40" t="n">
        <f aca="false">G89+H89+I89</f>
        <v>1.13093333333333</v>
      </c>
      <c r="K89" s="23" t="n">
        <v>0</v>
      </c>
      <c r="L89" s="40" t="n">
        <f aca="false">J89+K89</f>
        <v>1.13093333333333</v>
      </c>
      <c r="M89" s="36" t="n">
        <f aca="false">Inputs!$B$5</f>
        <v>2000</v>
      </c>
      <c r="N89" s="41" t="n">
        <f aca="false">J89*M89</f>
        <v>2261.86666666667</v>
      </c>
      <c r="O89" s="41" t="n">
        <f aca="false">L89*M89</f>
        <v>2261.86666666667</v>
      </c>
    </row>
    <row r="90" customFormat="false" ht="15" hidden="false" customHeight="false" outlineLevel="0" collapsed="false">
      <c r="A90" s="31" t="s">
        <v>318</v>
      </c>
      <c r="B90" s="9" t="s">
        <v>333</v>
      </c>
      <c r="C90" s="14" t="str">
        <f aca="false">'Frosted Finish – Top 3'!B9</f>
        <v>250–270 ml</v>
      </c>
      <c r="D90" s="31" t="s">
        <v>322</v>
      </c>
      <c r="E90" s="50" t="n">
        <f aca="false">'Frosted Finish – Top 3'!I9+'Frosted Finish – Top 3'!K9</f>
        <v>0.52</v>
      </c>
      <c r="F90" s="51" t="n">
        <f aca="false">'Frosted Finish – Top 3'!L9</f>
        <v>1.38</v>
      </c>
      <c r="G90" s="23" t="n">
        <f aca="false">E90*F90*(1+Inputs!$B$29)</f>
        <v>0.7176</v>
      </c>
      <c r="H90" s="23" t="n">
        <v>0</v>
      </c>
      <c r="I90" s="23" t="n">
        <f aca="false">(Inputs!$B$18+Inputs!$B$26)/(Inputs!$B$5*Inputs!$B$6)</f>
        <v>0.413333333333333</v>
      </c>
      <c r="J90" s="40" t="n">
        <f aca="false">G90+H90+I90</f>
        <v>1.13093333333333</v>
      </c>
      <c r="K90" s="23" t="n">
        <v>0</v>
      </c>
      <c r="L90" s="40" t="n">
        <f aca="false">J90+K90</f>
        <v>1.13093333333333</v>
      </c>
      <c r="M90" s="36" t="n">
        <f aca="false">Inputs!$B$5</f>
        <v>2000</v>
      </c>
      <c r="N90" s="41" t="n">
        <f aca="false">J90*M90</f>
        <v>2261.86666666667</v>
      </c>
      <c r="O90" s="41" t="n">
        <f aca="false">L90*M90</f>
        <v>2261.86666666667</v>
      </c>
    </row>
    <row r="91" customFormat="false" ht="15" hidden="false" customHeight="false" outlineLevel="0" collapsed="false">
      <c r="A91" s="43" t="s">
        <v>319</v>
      </c>
      <c r="B91" s="44"/>
      <c r="C91" s="44"/>
      <c r="D91" s="44"/>
      <c r="E91" s="44"/>
      <c r="F91" s="44"/>
      <c r="G91" s="44"/>
      <c r="H91" s="44"/>
      <c r="I91" s="44"/>
      <c r="J91" s="40" t="n">
        <f aca="false">N91/M91</f>
        <v>1.12173333333333</v>
      </c>
      <c r="K91" s="44"/>
      <c r="L91" s="40" t="n">
        <f aca="false">O91/M91</f>
        <v>1.12173333333333</v>
      </c>
      <c r="M91" s="45" t="n">
        <f aca="false">SUM(M88:M90)</f>
        <v>6000</v>
      </c>
      <c r="N91" s="46" t="n">
        <f aca="false">SUM(N88:N90)</f>
        <v>6730.4</v>
      </c>
      <c r="O91" s="46" t="n">
        <f aca="false">SUM(O88:O90)</f>
        <v>6730.4</v>
      </c>
    </row>
  </sheetData>
  <mergeCells count="10">
    <mergeCell ref="A22:O22"/>
    <mergeCell ref="A29:O29"/>
    <mergeCell ref="A36:O36"/>
    <mergeCell ref="A43:O43"/>
    <mergeCell ref="A50:O50"/>
    <mergeCell ref="A58:O58"/>
    <mergeCell ref="A65:O65"/>
    <mergeCell ref="A72:O72"/>
    <mergeCell ref="A79:O79"/>
    <mergeCell ref="A86:O86"/>
  </mergeCells>
  <conditionalFormatting sqref="C6:C9">
    <cfRule type="expression" priority="2" aboveAverage="0" equalAverage="0" bottom="0" percent="0" rank="0" text="" dxfId="0">
      <formula>C6=MIN($C$6:$C$9)</formula>
    </cfRule>
  </conditionalFormatting>
  <conditionalFormatting sqref="E6:E9">
    <cfRule type="expression" priority="3" aboveAverage="0" equalAverage="0" bottom="0" percent="0" rank="0" text="" dxfId="0">
      <formula>E6=MIN($E$6:$E$9)</formula>
    </cfRule>
  </conditionalFormatting>
  <conditionalFormatting sqref="C11:C14">
    <cfRule type="expression" priority="4" aboveAverage="0" equalAverage="0" bottom="0" percent="0" rank="0" text="" dxfId="0">
      <formula>C11=MIN($C$11:$C$14)</formula>
    </cfRule>
  </conditionalFormatting>
  <conditionalFormatting sqref="E11:E14">
    <cfRule type="expression" priority="5" aboveAverage="0" equalAverage="0" bottom="0" percent="0" rank="0" text="" dxfId="0">
      <formula>E11=MIN($E$11:$E$14)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26"/>
    <col collapsed="false" customWidth="true" hidden="false" outlineLevel="0" max="4" min="4" style="0" width="30"/>
    <col collapsed="false" customWidth="true" hidden="false" outlineLevel="0" max="5" min="5" style="0" width="14"/>
    <col collapsed="false" customWidth="true" hidden="false" outlineLevel="0" max="6" min="6" style="0" width="18"/>
    <col collapsed="false" customWidth="true" hidden="false" outlineLevel="0" max="7" min="7" style="0" width="30"/>
    <col collapsed="false" customWidth="true" hidden="false" outlineLevel="0" max="8" min="8" style="0" width="28"/>
    <col collapsed="false" customWidth="true" hidden="false" outlineLevel="0" max="9" min="9" style="0" width="26"/>
    <col collapsed="false" customWidth="true" hidden="false" outlineLevel="0" max="10" min="10" style="0" width="50"/>
  </cols>
  <sheetData>
    <row r="1" customFormat="false" ht="17.35" hidden="false" customHeight="false" outlineLevel="0" collapsed="false">
      <c r="A1" s="1" t="s">
        <v>339</v>
      </c>
    </row>
    <row r="2" customFormat="false" ht="15" hidden="false" customHeight="false" outlineLevel="0" collapsed="false">
      <c r="A2" s="2" t="s">
        <v>340</v>
      </c>
    </row>
    <row r="4" customFormat="false" ht="23.85" hidden="false" customHeight="false" outlineLevel="0" collapsed="false">
      <c r="A4" s="26" t="s">
        <v>341</v>
      </c>
      <c r="B4" s="26" t="s">
        <v>342</v>
      </c>
      <c r="C4" s="26" t="s">
        <v>343</v>
      </c>
      <c r="D4" s="26" t="s">
        <v>344</v>
      </c>
      <c r="E4" s="26" t="s">
        <v>345</v>
      </c>
      <c r="F4" s="26" t="s">
        <v>346</v>
      </c>
      <c r="G4" s="26" t="s">
        <v>347</v>
      </c>
      <c r="H4" s="26" t="s">
        <v>348</v>
      </c>
      <c r="I4" s="26" t="s">
        <v>349</v>
      </c>
      <c r="J4" s="26" t="s">
        <v>350</v>
      </c>
    </row>
    <row r="5" customFormat="false" ht="23.85" hidden="false" customHeight="false" outlineLevel="0" collapsed="false">
      <c r="A5" s="52" t="s">
        <v>351</v>
      </c>
      <c r="B5" s="52" t="s">
        <v>352</v>
      </c>
      <c r="C5" s="52" t="s">
        <v>353</v>
      </c>
      <c r="D5" s="52" t="s">
        <v>354</v>
      </c>
      <c r="E5" s="52" t="s">
        <v>284</v>
      </c>
      <c r="F5" s="52" t="s">
        <v>284</v>
      </c>
      <c r="G5" s="52" t="s">
        <v>355</v>
      </c>
      <c r="H5" s="52" t="s">
        <v>356</v>
      </c>
      <c r="I5" s="52" t="s">
        <v>357</v>
      </c>
      <c r="J5" s="52" t="s">
        <v>358</v>
      </c>
    </row>
    <row r="6" customFormat="false" ht="23.85" hidden="false" customHeight="false" outlineLevel="0" collapsed="false">
      <c r="A6" s="52" t="s">
        <v>351</v>
      </c>
      <c r="B6" s="52" t="s">
        <v>359</v>
      </c>
      <c r="C6" s="52" t="s">
        <v>360</v>
      </c>
      <c r="D6" s="52" t="s">
        <v>361</v>
      </c>
      <c r="E6" s="52" t="s">
        <v>284</v>
      </c>
      <c r="F6" s="52" t="s">
        <v>284</v>
      </c>
      <c r="G6" s="52" t="s">
        <v>362</v>
      </c>
      <c r="H6" s="52" t="s">
        <v>363</v>
      </c>
      <c r="I6" s="52" t="s">
        <v>364</v>
      </c>
      <c r="J6" s="52" t="s">
        <v>365</v>
      </c>
    </row>
    <row r="7" customFormat="false" ht="35.05" hidden="false" customHeight="false" outlineLevel="0" collapsed="false">
      <c r="A7" s="52" t="s">
        <v>351</v>
      </c>
      <c r="B7" s="52" t="s">
        <v>366</v>
      </c>
      <c r="C7" s="52" t="s">
        <v>367</v>
      </c>
      <c r="D7" s="52" t="s">
        <v>368</v>
      </c>
      <c r="E7" s="52" t="s">
        <v>369</v>
      </c>
      <c r="F7" s="52" t="s">
        <v>370</v>
      </c>
      <c r="G7" s="52" t="s">
        <v>371</v>
      </c>
      <c r="H7" s="52" t="s">
        <v>372</v>
      </c>
      <c r="I7" s="52" t="s">
        <v>373</v>
      </c>
      <c r="J7" s="52" t="s">
        <v>374</v>
      </c>
    </row>
    <row r="8" customFormat="false" ht="23.85" hidden="false" customHeight="false" outlineLevel="0" collapsed="false">
      <c r="A8" s="9" t="s">
        <v>351</v>
      </c>
      <c r="B8" s="9" t="s">
        <v>375</v>
      </c>
      <c r="C8" s="9" t="s">
        <v>376</v>
      </c>
      <c r="D8" s="9" t="s">
        <v>377</v>
      </c>
      <c r="E8" s="9" t="s">
        <v>284</v>
      </c>
      <c r="F8" s="9" t="s">
        <v>284</v>
      </c>
      <c r="G8" s="9" t="s">
        <v>378</v>
      </c>
      <c r="H8" s="9" t="s">
        <v>379</v>
      </c>
      <c r="I8" s="9" t="s">
        <v>380</v>
      </c>
      <c r="J8" s="9" t="s">
        <v>381</v>
      </c>
    </row>
    <row r="9" customFormat="false" ht="23.85" hidden="false" customHeight="false" outlineLevel="0" collapsed="false">
      <c r="A9" s="9" t="s">
        <v>351</v>
      </c>
      <c r="B9" s="9" t="s">
        <v>382</v>
      </c>
      <c r="C9" s="9" t="s">
        <v>383</v>
      </c>
      <c r="D9" s="9" t="s">
        <v>384</v>
      </c>
      <c r="E9" s="9" t="s">
        <v>385</v>
      </c>
      <c r="F9" s="9" t="s">
        <v>386</v>
      </c>
      <c r="G9" s="9" t="s">
        <v>387</v>
      </c>
      <c r="H9" s="9" t="s">
        <v>388</v>
      </c>
      <c r="I9" s="9" t="s">
        <v>389</v>
      </c>
      <c r="J9" s="9" t="s">
        <v>390</v>
      </c>
    </row>
    <row r="10" customFormat="false" ht="23.85" hidden="false" customHeight="false" outlineLevel="0" collapsed="false">
      <c r="A10" s="9" t="s">
        <v>351</v>
      </c>
      <c r="B10" s="9" t="s">
        <v>391</v>
      </c>
      <c r="C10" s="9" t="s">
        <v>392</v>
      </c>
      <c r="D10" s="9" t="s">
        <v>393</v>
      </c>
      <c r="E10" s="9" t="s">
        <v>385</v>
      </c>
      <c r="F10" s="9" t="s">
        <v>385</v>
      </c>
      <c r="G10" s="9" t="s">
        <v>394</v>
      </c>
      <c r="H10" s="9" t="s">
        <v>395</v>
      </c>
      <c r="I10" s="9" t="s">
        <v>396</v>
      </c>
      <c r="J10" s="9" t="s">
        <v>397</v>
      </c>
    </row>
    <row r="11" customFormat="false" ht="23.85" hidden="false" customHeight="false" outlineLevel="0" collapsed="false">
      <c r="A11" s="9" t="s">
        <v>351</v>
      </c>
      <c r="B11" s="9" t="s">
        <v>398</v>
      </c>
      <c r="C11" s="9" t="s">
        <v>399</v>
      </c>
      <c r="D11" s="9" t="s">
        <v>400</v>
      </c>
      <c r="E11" s="9" t="s">
        <v>385</v>
      </c>
      <c r="F11" s="9" t="s">
        <v>385</v>
      </c>
      <c r="G11" s="9" t="s">
        <v>401</v>
      </c>
      <c r="H11" s="9" t="s">
        <v>402</v>
      </c>
      <c r="I11" s="9" t="s">
        <v>403</v>
      </c>
      <c r="J11" s="9" t="s">
        <v>404</v>
      </c>
    </row>
    <row r="12" customFormat="false" ht="23.85" hidden="false" customHeight="false" outlineLevel="0" collapsed="false">
      <c r="A12" s="9" t="s">
        <v>351</v>
      </c>
      <c r="B12" s="9" t="s">
        <v>405</v>
      </c>
      <c r="C12" s="9" t="s">
        <v>406</v>
      </c>
      <c r="D12" s="9" t="s">
        <v>407</v>
      </c>
      <c r="E12" s="9" t="s">
        <v>385</v>
      </c>
      <c r="F12" s="9" t="s">
        <v>385</v>
      </c>
      <c r="G12" s="9" t="s">
        <v>408</v>
      </c>
      <c r="H12" s="9" t="s">
        <v>409</v>
      </c>
      <c r="I12" s="9" t="s">
        <v>403</v>
      </c>
      <c r="J12" s="9" t="s">
        <v>410</v>
      </c>
    </row>
    <row r="13" customFormat="false" ht="23.85" hidden="false" customHeight="false" outlineLevel="0" collapsed="false">
      <c r="A13" s="9" t="s">
        <v>351</v>
      </c>
      <c r="B13" s="9" t="s">
        <v>411</v>
      </c>
      <c r="C13" s="9" t="s">
        <v>412</v>
      </c>
      <c r="D13" s="9" t="s">
        <v>413</v>
      </c>
      <c r="E13" s="9" t="s">
        <v>414</v>
      </c>
      <c r="F13" s="9" t="s">
        <v>415</v>
      </c>
      <c r="G13" s="9" t="s">
        <v>416</v>
      </c>
      <c r="H13" s="9" t="s">
        <v>417</v>
      </c>
      <c r="I13" s="9" t="s">
        <v>403</v>
      </c>
      <c r="J13" s="9" t="s">
        <v>418</v>
      </c>
    </row>
    <row r="14" customFormat="false" ht="23.85" hidden="false" customHeight="false" outlineLevel="0" collapsed="false">
      <c r="A14" s="9" t="s">
        <v>351</v>
      </c>
      <c r="B14" s="9" t="s">
        <v>419</v>
      </c>
      <c r="C14" s="9" t="s">
        <v>420</v>
      </c>
      <c r="D14" s="9" t="s">
        <v>407</v>
      </c>
      <c r="E14" s="9" t="s">
        <v>385</v>
      </c>
      <c r="F14" s="9" t="s">
        <v>385</v>
      </c>
      <c r="G14" s="9" t="s">
        <v>421</v>
      </c>
      <c r="H14" s="9" t="s">
        <v>422</v>
      </c>
      <c r="I14" s="9" t="s">
        <v>403</v>
      </c>
      <c r="J14" s="9" t="s">
        <v>423</v>
      </c>
    </row>
    <row r="15" customFormat="false" ht="23.85" hidden="false" customHeight="false" outlineLevel="0" collapsed="false">
      <c r="A15" s="9" t="s">
        <v>351</v>
      </c>
      <c r="B15" s="9" t="s">
        <v>424</v>
      </c>
      <c r="C15" s="9" t="s">
        <v>425</v>
      </c>
      <c r="D15" s="9" t="s">
        <v>426</v>
      </c>
      <c r="E15" s="9" t="s">
        <v>385</v>
      </c>
      <c r="F15" s="9" t="s">
        <v>385</v>
      </c>
      <c r="G15" s="9" t="s">
        <v>378</v>
      </c>
      <c r="H15" s="9" t="s">
        <v>427</v>
      </c>
      <c r="I15" s="9" t="s">
        <v>403</v>
      </c>
      <c r="J15" s="9" t="s">
        <v>428</v>
      </c>
    </row>
    <row r="16" customFormat="false" ht="23.85" hidden="false" customHeight="false" outlineLevel="0" collapsed="false">
      <c r="A16" s="9" t="s">
        <v>351</v>
      </c>
      <c r="B16" s="9" t="s">
        <v>429</v>
      </c>
      <c r="C16" s="9" t="s">
        <v>425</v>
      </c>
      <c r="D16" s="9" t="s">
        <v>430</v>
      </c>
      <c r="E16" s="9" t="s">
        <v>385</v>
      </c>
      <c r="F16" s="9" t="s">
        <v>385</v>
      </c>
      <c r="G16" s="9" t="s">
        <v>431</v>
      </c>
      <c r="H16" s="9" t="s">
        <v>427</v>
      </c>
      <c r="I16" s="9" t="s">
        <v>403</v>
      </c>
      <c r="J16" s="9" t="s">
        <v>432</v>
      </c>
    </row>
    <row r="17" customFormat="false" ht="23.85" hidden="false" customHeight="false" outlineLevel="0" collapsed="false">
      <c r="A17" s="9" t="s">
        <v>351</v>
      </c>
      <c r="B17" s="9" t="s">
        <v>433</v>
      </c>
      <c r="C17" s="9" t="s">
        <v>434</v>
      </c>
      <c r="D17" s="9" t="s">
        <v>400</v>
      </c>
      <c r="E17" s="9" t="s">
        <v>385</v>
      </c>
      <c r="F17" s="9" t="s">
        <v>385</v>
      </c>
      <c r="G17" s="9" t="s">
        <v>435</v>
      </c>
      <c r="H17" s="9" t="s">
        <v>427</v>
      </c>
      <c r="I17" s="9" t="s">
        <v>403</v>
      </c>
      <c r="J17" s="9" t="s">
        <v>436</v>
      </c>
    </row>
    <row r="18" customFormat="false" ht="23.85" hidden="false" customHeight="false" outlineLevel="0" collapsed="false">
      <c r="A18" s="9" t="s">
        <v>351</v>
      </c>
      <c r="B18" s="9" t="s">
        <v>437</v>
      </c>
      <c r="C18" s="9" t="s">
        <v>425</v>
      </c>
      <c r="D18" s="9" t="s">
        <v>438</v>
      </c>
      <c r="E18" s="9" t="s">
        <v>385</v>
      </c>
      <c r="F18" s="9" t="s">
        <v>385</v>
      </c>
      <c r="G18" s="9" t="s">
        <v>439</v>
      </c>
      <c r="H18" s="9" t="s">
        <v>440</v>
      </c>
      <c r="I18" s="9" t="s">
        <v>403</v>
      </c>
      <c r="J18" s="9" t="s">
        <v>441</v>
      </c>
    </row>
    <row r="19" customFormat="false" ht="23.85" hidden="false" customHeight="false" outlineLevel="0" collapsed="false">
      <c r="A19" s="9" t="s">
        <v>351</v>
      </c>
      <c r="B19" s="9" t="s">
        <v>442</v>
      </c>
      <c r="C19" s="9" t="s">
        <v>443</v>
      </c>
      <c r="D19" s="9" t="s">
        <v>444</v>
      </c>
      <c r="E19" s="9" t="s">
        <v>445</v>
      </c>
      <c r="F19" s="9" t="s">
        <v>446</v>
      </c>
      <c r="G19" s="9" t="s">
        <v>447</v>
      </c>
      <c r="H19" s="9" t="s">
        <v>448</v>
      </c>
      <c r="I19" s="9" t="s">
        <v>449</v>
      </c>
      <c r="J19" s="9" t="s">
        <v>450</v>
      </c>
    </row>
    <row r="20" customFormat="false" ht="57.45" hidden="false" customHeight="false" outlineLevel="0" collapsed="false">
      <c r="A20" s="52" t="s">
        <v>451</v>
      </c>
      <c r="B20" s="52" t="s">
        <v>452</v>
      </c>
      <c r="C20" s="52" t="s">
        <v>367</v>
      </c>
      <c r="D20" s="52" t="s">
        <v>453</v>
      </c>
      <c r="E20" s="52" t="s">
        <v>454</v>
      </c>
      <c r="F20" s="52" t="s">
        <v>455</v>
      </c>
      <c r="G20" s="52" t="s">
        <v>456</v>
      </c>
      <c r="H20" s="52" t="s">
        <v>457</v>
      </c>
      <c r="I20" s="52" t="s">
        <v>458</v>
      </c>
      <c r="J20" s="52" t="s">
        <v>459</v>
      </c>
    </row>
    <row r="21" customFormat="false" ht="23.85" hidden="false" customHeight="false" outlineLevel="0" collapsed="false">
      <c r="A21" s="52" t="s">
        <v>451</v>
      </c>
      <c r="B21" s="52" t="s">
        <v>460</v>
      </c>
      <c r="C21" s="52" t="s">
        <v>461</v>
      </c>
      <c r="D21" s="52" t="s">
        <v>462</v>
      </c>
      <c r="E21" s="52" t="s">
        <v>284</v>
      </c>
      <c r="F21" s="52" t="s">
        <v>284</v>
      </c>
      <c r="G21" s="52" t="s">
        <v>463</v>
      </c>
      <c r="H21" s="52" t="s">
        <v>464</v>
      </c>
      <c r="I21" s="52" t="s">
        <v>364</v>
      </c>
      <c r="J21" s="52" t="s">
        <v>465</v>
      </c>
    </row>
    <row r="22" customFormat="false" ht="23.85" hidden="false" customHeight="false" outlineLevel="0" collapsed="false">
      <c r="A22" s="52" t="s">
        <v>451</v>
      </c>
      <c r="B22" s="52" t="s">
        <v>466</v>
      </c>
      <c r="C22" s="52" t="s">
        <v>461</v>
      </c>
      <c r="D22" s="52" t="s">
        <v>462</v>
      </c>
      <c r="E22" s="52" t="s">
        <v>284</v>
      </c>
      <c r="F22" s="52" t="s">
        <v>284</v>
      </c>
      <c r="G22" s="52" t="s">
        <v>467</v>
      </c>
      <c r="H22" s="52" t="s">
        <v>468</v>
      </c>
      <c r="I22" s="52" t="s">
        <v>469</v>
      </c>
      <c r="J22" s="52" t="s">
        <v>470</v>
      </c>
    </row>
    <row r="23" customFormat="false" ht="23.85" hidden="false" customHeight="false" outlineLevel="0" collapsed="false">
      <c r="A23" s="9" t="s">
        <v>451</v>
      </c>
      <c r="B23" s="9" t="s">
        <v>471</v>
      </c>
      <c r="C23" s="9" t="s">
        <v>472</v>
      </c>
      <c r="D23" s="9" t="s">
        <v>473</v>
      </c>
      <c r="E23" s="9" t="s">
        <v>385</v>
      </c>
      <c r="F23" s="9" t="s">
        <v>474</v>
      </c>
      <c r="G23" s="9" t="s">
        <v>475</v>
      </c>
      <c r="H23" s="9" t="s">
        <v>422</v>
      </c>
      <c r="I23" s="9" t="s">
        <v>476</v>
      </c>
      <c r="J23" s="9" t="s">
        <v>477</v>
      </c>
    </row>
    <row r="24" customFormat="false" ht="35.05" hidden="false" customHeight="false" outlineLevel="0" collapsed="false">
      <c r="A24" s="9" t="s">
        <v>451</v>
      </c>
      <c r="B24" s="9" t="s">
        <v>478</v>
      </c>
      <c r="C24" s="9" t="s">
        <v>322</v>
      </c>
      <c r="D24" s="9" t="s">
        <v>479</v>
      </c>
      <c r="E24" s="9" t="s">
        <v>480</v>
      </c>
      <c r="F24" s="9" t="s">
        <v>481</v>
      </c>
      <c r="G24" s="9" t="s">
        <v>482</v>
      </c>
      <c r="H24" s="9" t="s">
        <v>427</v>
      </c>
      <c r="I24" s="9" t="s">
        <v>483</v>
      </c>
      <c r="J24" s="9" t="s">
        <v>484</v>
      </c>
    </row>
    <row r="25" customFormat="false" ht="23.85" hidden="false" customHeight="false" outlineLevel="0" collapsed="false">
      <c r="A25" s="9" t="s">
        <v>451</v>
      </c>
      <c r="B25" s="9" t="s">
        <v>485</v>
      </c>
      <c r="C25" s="9" t="s">
        <v>486</v>
      </c>
      <c r="D25" s="9" t="s">
        <v>487</v>
      </c>
      <c r="E25" s="9" t="s">
        <v>284</v>
      </c>
      <c r="F25" s="9" t="s">
        <v>284</v>
      </c>
      <c r="G25" s="9" t="s">
        <v>488</v>
      </c>
      <c r="H25" s="9" t="s">
        <v>427</v>
      </c>
      <c r="I25" s="9" t="s">
        <v>489</v>
      </c>
      <c r="J25" s="9" t="s">
        <v>490</v>
      </c>
    </row>
    <row r="26" customFormat="false" ht="15" hidden="false" customHeight="false" outlineLevel="0" collapsed="false">
      <c r="A26" s="9" t="s">
        <v>451</v>
      </c>
      <c r="B26" s="9" t="s">
        <v>491</v>
      </c>
      <c r="C26" s="9" t="s">
        <v>412</v>
      </c>
      <c r="D26" s="9" t="s">
        <v>492</v>
      </c>
      <c r="E26" s="9" t="s">
        <v>493</v>
      </c>
      <c r="F26" s="9" t="s">
        <v>385</v>
      </c>
      <c r="G26" s="9" t="s">
        <v>494</v>
      </c>
      <c r="H26" s="9" t="s">
        <v>495</v>
      </c>
      <c r="I26" s="9" t="s">
        <v>496</v>
      </c>
      <c r="J26" s="9" t="s">
        <v>497</v>
      </c>
    </row>
    <row r="27" customFormat="false" ht="23.85" hidden="false" customHeight="false" outlineLevel="0" collapsed="false">
      <c r="A27" s="9" t="s">
        <v>451</v>
      </c>
      <c r="B27" s="9" t="s">
        <v>398</v>
      </c>
      <c r="C27" s="9" t="s">
        <v>498</v>
      </c>
      <c r="D27" s="9" t="s">
        <v>499</v>
      </c>
      <c r="E27" s="9" t="s">
        <v>385</v>
      </c>
      <c r="F27" s="9" t="s">
        <v>385</v>
      </c>
      <c r="G27" s="9" t="s">
        <v>500</v>
      </c>
      <c r="H27" s="9" t="s">
        <v>501</v>
      </c>
      <c r="I27" s="9" t="s">
        <v>502</v>
      </c>
      <c r="J27" s="9" t="s">
        <v>503</v>
      </c>
    </row>
    <row r="28" customFormat="false" ht="23.85" hidden="false" customHeight="false" outlineLevel="0" collapsed="false">
      <c r="A28" s="9" t="s">
        <v>451</v>
      </c>
      <c r="B28" s="9" t="s">
        <v>504</v>
      </c>
      <c r="C28" s="9" t="s">
        <v>427</v>
      </c>
      <c r="D28" s="9" t="s">
        <v>505</v>
      </c>
      <c r="E28" s="9" t="s">
        <v>427</v>
      </c>
      <c r="F28" s="9" t="s">
        <v>385</v>
      </c>
      <c r="G28" s="9" t="s">
        <v>427</v>
      </c>
      <c r="H28" s="9" t="s">
        <v>427</v>
      </c>
      <c r="I28" s="9" t="s">
        <v>506</v>
      </c>
      <c r="J28"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20"/>
  </cols>
  <sheetData>
    <row r="1" customFormat="false" ht="17.35" hidden="false" customHeight="false" outlineLevel="0" collapsed="false">
      <c r="A1" s="1" t="s">
        <v>507</v>
      </c>
    </row>
    <row r="3" customFormat="false" ht="15" hidden="false" customHeight="false" outlineLevel="0" collapsed="false">
      <c r="A3" s="30" t="s">
        <v>508</v>
      </c>
      <c r="B3" s="30" t="s">
        <v>509</v>
      </c>
      <c r="C3" s="30" t="s">
        <v>510</v>
      </c>
    </row>
    <row r="4" customFormat="false" ht="42" hidden="false" customHeight="true" outlineLevel="0" collapsed="false">
      <c r="A4" s="31" t="s">
        <v>511</v>
      </c>
      <c r="B4" s="9" t="s">
        <v>512</v>
      </c>
      <c r="C4" s="9" t="s">
        <v>513</v>
      </c>
    </row>
    <row r="5" customFormat="false" ht="42" hidden="false" customHeight="true" outlineLevel="0" collapsed="false">
      <c r="A5" s="31" t="s">
        <v>514</v>
      </c>
      <c r="B5" s="9" t="s">
        <v>515</v>
      </c>
      <c r="C5" s="9" t="s">
        <v>516</v>
      </c>
    </row>
    <row r="6" customFormat="false" ht="42" hidden="false" customHeight="true" outlineLevel="0" collapsed="false">
      <c r="A6" s="31" t="s">
        <v>517</v>
      </c>
      <c r="B6" s="9" t="s">
        <v>518</v>
      </c>
      <c r="C6" s="9" t="s">
        <v>519</v>
      </c>
    </row>
    <row r="7" customFormat="false" ht="42" hidden="false" customHeight="true" outlineLevel="0" collapsed="false">
      <c r="A7" s="31" t="s">
        <v>520</v>
      </c>
      <c r="B7" s="9" t="s">
        <v>515</v>
      </c>
      <c r="C7" s="9" t="s">
        <v>521</v>
      </c>
    </row>
    <row r="8" customFormat="false" ht="42" hidden="false" customHeight="true" outlineLevel="0" collapsed="false">
      <c r="A8" s="31" t="s">
        <v>522</v>
      </c>
      <c r="B8" s="9" t="s">
        <v>515</v>
      </c>
      <c r="C8" s="9" t="s">
        <v>523</v>
      </c>
    </row>
    <row r="9" customFormat="false" ht="42" hidden="false" customHeight="true" outlineLevel="0" collapsed="false">
      <c r="A9" s="31" t="s">
        <v>524</v>
      </c>
      <c r="B9" s="9" t="s">
        <v>515</v>
      </c>
      <c r="C9" s="9" t="s">
        <v>525</v>
      </c>
    </row>
    <row r="10" customFormat="false" ht="42" hidden="false" customHeight="true" outlineLevel="0" collapsed="false">
      <c r="A10" s="31" t="s">
        <v>526</v>
      </c>
      <c r="B10" s="9" t="s">
        <v>527</v>
      </c>
      <c r="C10" s="9" t="s">
        <v>528</v>
      </c>
    </row>
    <row r="11" customFormat="false" ht="42" hidden="false" customHeight="true" outlineLevel="0" collapsed="false">
      <c r="A11" s="31" t="s">
        <v>529</v>
      </c>
      <c r="B11" s="9" t="s">
        <v>530</v>
      </c>
      <c r="C11" s="9" t="s">
        <v>531</v>
      </c>
    </row>
    <row r="13" customFormat="false" ht="15" hidden="false" customHeight="false" outlineLevel="0" collapsed="false">
      <c r="A13" s="4" t="s">
        <v>532</v>
      </c>
    </row>
    <row r="14" customFormat="false" ht="30" hidden="false" customHeight="true" outlineLevel="0" collapsed="false">
      <c r="A14" s="53" t="s">
        <v>533</v>
      </c>
      <c r="B14" s="53"/>
      <c r="C14" s="53"/>
    </row>
    <row r="15" customFormat="false" ht="30" hidden="false" customHeight="true" outlineLevel="0" collapsed="false">
      <c r="A15" s="53" t="s">
        <v>534</v>
      </c>
      <c r="B15" s="53"/>
      <c r="C15" s="53"/>
    </row>
    <row r="16" customFormat="false" ht="30" hidden="false" customHeight="true" outlineLevel="0" collapsed="false">
      <c r="A16" s="53" t="s">
        <v>535</v>
      </c>
      <c r="B16" s="53"/>
      <c r="C16" s="53"/>
    </row>
    <row r="17" customFormat="false" ht="30" hidden="false" customHeight="true" outlineLevel="0" collapsed="false">
      <c r="A17" s="53" t="s">
        <v>536</v>
      </c>
      <c r="B17" s="53"/>
      <c r="C17" s="53"/>
    </row>
  </sheetData>
  <mergeCells count="4">
    <mergeCell ref="A14:C14"/>
    <mergeCell ref="A15:C15"/>
    <mergeCell ref="A16:C16"/>
    <mergeCell ref="A17:C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2026-10-09T15:52:39Z</dcterms:created>
  <dc:creator>openpyxl</dc:creator>
  <dc:description/>
  <dc:language>en-US</dc:language>
  <cp:lastModifiedBy/>
  <dcterms:modified xsi:type="dcterms:W3CDTF">2026-10-09T15:52:39Z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