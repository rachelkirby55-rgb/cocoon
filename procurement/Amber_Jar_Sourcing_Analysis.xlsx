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l Recommendation" sheetId="1" state="visible" r:id="rId3"/>
    <sheet name="Packer vs Straight-Sided" sheetId="2" state="visible" r:id="rId4"/>
    <sheet name="Product Links" sheetId="3" state="visible" r:id="rId5"/>
    <sheet name="Summary" sheetId="4" state="visible" r:id="rId6"/>
    <sheet name="Inputs" sheetId="5" state="visible" r:id="rId7"/>
    <sheet name="Capsule Sizing" sheetId="6" state="visible" r:id="rId8"/>
    <sheet name="Regular Finish – Top 3" sheetId="7" state="visible" r:id="rId9"/>
    <sheet name="Frosted Finish – Top 3" sheetId="8" state="visible" r:id="rId10"/>
    <sheet name="Split Plan – Local vs China" sheetId="9" state="visible" r:id="rId11"/>
    <sheet name="All Suppliers Screened" sheetId="10" state="visible" r:id="rId12"/>
    <sheet name="Next Steps &amp; Questions" sheetId="11" state="visible" r:id="rId13"/>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Source: Capsugel Coni-Snap / Torpac capsule size charts.</t>
        </r>
      </text>
    </comment>
    <comment ref="B7" authorId="0">
      <text>
        <r>
          <rPr>
            <sz val="10"/>
            <rFont val="Arial"/>
            <family val="2"/>
          </rPr>
          <t xml:space="preserve">Source: Capsugel Coni-Snap / Torpac capsule size charts.</t>
        </r>
      </text>
    </comment>
    <comment ref="C6" authorId="0">
      <text>
        <r>
          <rPr>
            <sz val="10"/>
            <rFont val="Arial"/>
            <family val="2"/>
          </rPr>
          <t xml:space="preserve">Source: Capsugel Coni-Snap / Torpac capsule size charts.</t>
        </r>
      </text>
    </comment>
    <comment ref="C7" authorId="0">
      <text>
        <r>
          <rPr>
            <sz val="10"/>
            <rFont val="Arial"/>
            <family val="2"/>
          </rPr>
          <t xml:space="preserve">Source: Capsugel Coni-Snap / Torpac capsule size charts.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7" authorId="0">
      <text>
        <r>
          <rPr>
            <sz val="10"/>
            <rFont val="Arial"/>
            <family val="2"/>
          </rPr>
          <t xml:space="preserve">Live tiers/case: 1–49 $13.35; 50–299 $11.45; 300–1,199 $9.69; 1,200+ $8.59. 2,000 jars = 84 cases. Origin not stated.</t>
        </r>
      </text>
    </comment>
    <comment ref="G8" authorId="0">
      <text>
        <r>
          <rPr>
            <sz val="10"/>
            <rFont val="Arial"/>
            <family val="2"/>
          </rPr>
          <t xml:space="preserve">Live tiers/case: base $8.13; 67–479 $7.45; 480–1,919 $5.89; 1,920+ $4.98. 500 jars = 42 cases → base tier.</t>
        </r>
      </text>
    </comment>
    <comment ref="G9" authorId="0">
      <text>
        <r>
          <rPr>
            <sz val="10"/>
            <rFont val="Arial"/>
            <family val="2"/>
          </rPr>
          <t xml:space="preserve">Live tiers/case: base $6.99; 40–175 $5.29; 176–703 $4.74; 704+ $4.34. Confirmed amber. 500 jars = 42 cases. Burch has NO amber 8 oz.</t>
        </r>
      </text>
    </comment>
    <comment ref="G16" authorId="0">
      <text>
        <r>
          <rPr>
            <sz val="10"/>
            <rFont val="Arial"/>
            <family val="2"/>
          </rPr>
          <t xml:space="preserve">Live tiers/case: 1–47 $13.85; 48–155 $12.95; 156–299 $12.15; 300–1,199 $11.25; 1,200+ $10.40. Overflow 4.83 fl oz.</t>
        </r>
      </text>
    </comment>
    <comment ref="G17" authorId="0">
      <text>
        <r>
          <rPr>
            <sz val="10"/>
            <rFont val="Arial"/>
            <family val="2"/>
          </rPr>
          <t xml:space="preserve">Live tiers/case: 1–59 $7.99; 60–259 $7.40; 260–499 $7.05; 500+ $6.85. Overflow 6.76 fl oz (200 ml).</t>
        </r>
      </text>
    </comment>
    <comment ref="G18" authorId="0">
      <text>
        <r>
          <rPr>
            <sz val="10"/>
            <rFont val="Arial"/>
            <family val="2"/>
          </rPr>
          <t xml:space="preserve">Live tiers/case: 1–63 $6.35; 64–175 $5.60; 176–351 $5.20; 352+ $4.85.</t>
        </r>
      </text>
    </comment>
    <comment ref="I25" authorId="0">
      <text>
        <r>
          <rPr>
            <sz val="10"/>
            <rFont val="Arial"/>
            <family val="2"/>
          </rPr>
          <t xml:space="preserve">Live (made-in-china.com): Xuzhou Das $0.41–0.42 at 1,000–29,999 (stock); Xuzhou Sheenland 120 ml $0.45 at 500–4,999; Hebei Lingjin 120 ml $0.19 at 2,000 (metal lid).</t>
        </r>
      </text>
    </comment>
    <comment ref="I26" authorId="0">
      <text>
        <r>
          <rPr>
            <sz val="10"/>
            <rFont val="Arial"/>
            <family val="2"/>
          </rPr>
          <t xml:space="preserve">Live (made-in-china.com): Chongqing Sincereal 180 ml $0.42 at 200–999 (metal lid); Qingdao Xinte 175 ml $0.30 at 1,000+; Qingdao Giant 120/180/240 ml family (stock, any qty per FAQ). Must be ≤190 ml to look half full at size 0.</t>
        </r>
      </text>
    </comment>
    <comment ref="I27" authorId="0">
      <text>
        <r>
          <rPr>
            <sz val="10"/>
            <rFont val="Arial"/>
            <family val="2"/>
          </rPr>
          <t xml:space="preserve">Live: Xuzhou Das 8 oz/250 ml $0.41–0.42; Xuzhou Huiju 8 oz 70-400 $0.09–0.55 (MOQ 100, metal lid; snippet).</t>
        </r>
      </text>
    </comment>
    <comment ref="I34" authorId="0">
      <text>
        <r>
          <rPr>
            <sz val="10"/>
            <rFont val="Arial"/>
            <family val="2"/>
          </rPr>
          <t xml:space="preserve">$0.96/jar listed (sale). Origin: China.</t>
        </r>
      </text>
    </comment>
    <comment ref="I35" authorId="0">
      <text>
        <r>
          <rPr>
            <sz val="10"/>
            <rFont val="Arial"/>
            <family val="2"/>
          </rPr>
          <t xml:space="preserve">$0.99/jar listed. In stock.</t>
        </r>
      </text>
    </comment>
    <comment ref="I36" authorId="0">
      <text>
        <r>
          <rPr>
            <sz val="10"/>
            <rFont val="Arial"/>
            <family val="2"/>
          </rPr>
          <t xml:space="preserve">$0.99/jar list. In stock. Origin China (verified).</t>
        </r>
      </text>
    </comment>
    <comment ref="I43" authorId="0">
      <text>
        <r>
          <rPr>
            <sz val="10"/>
            <rFont val="Arial"/>
            <family val="2"/>
          </rPr>
          <t xml:space="preserve">$1.67/jar at 3+ cases, cap included (uline.ca).</t>
        </r>
      </text>
    </comment>
    <comment ref="I44" authorId="0">
      <text>
        <r>
          <rPr>
            <sz val="10"/>
            <rFont val="Arial"/>
            <family val="2"/>
          </rPr>
          <t xml:space="preserve">$2.35/jar at 3+ cases, cap included (uline.ca).</t>
        </r>
      </text>
    </comment>
    <comment ref="I45" authorId="0">
      <text>
        <r>
          <rPr>
            <sz val="10"/>
            <rFont val="Arial"/>
            <family val="2"/>
          </rPr>
          <t xml:space="preserve">$2.35/jar at 3+ cases, cap included (uline.ca).</t>
        </r>
      </text>
    </comment>
    <comment ref="K7" authorId="0">
      <text>
        <r>
          <rPr>
            <sz val="10"/>
            <rFont val="Arial"/>
            <family val="2"/>
          </rPr>
          <t xml:space="preserve">Live: $0.16; $0.14 at 1,650+. Made in USA (caps are not on the surtax list).</t>
        </r>
      </text>
    </comment>
    <comment ref="K8" authorId="0">
      <text>
        <r>
          <rPr>
            <sz val="10"/>
            <rFont val="Arial"/>
            <family val="2"/>
          </rPr>
          <t xml:space="preserve">Live: $0.13; $0.11 at 1,500+.</t>
        </r>
      </text>
    </comment>
    <comment ref="K9" authorId="0">
      <text>
        <r>
          <rPr>
            <sz val="10"/>
            <rFont val="Arial"/>
            <family val="2"/>
          </rPr>
          <t xml:space="preserve">Live: $0.17; $0.15 at 1,150+.</t>
        </r>
      </text>
    </comment>
    <comment ref="K16" authorId="0">
      <text>
        <r>
          <rPr>
            <sz val="10"/>
            <rFont val="Arial"/>
            <family val="2"/>
          </rPr>
          <t xml:space="preserve">$125 per case of 1,100 → 2 cases for 2,000.</t>
        </r>
      </text>
    </comment>
    <comment ref="K17" authorId="0">
      <text>
        <r>
          <rPr>
            <sz val="10"/>
            <rFont val="Arial"/>
            <family val="2"/>
          </rPr>
          <t xml:space="preserve">Live: $0.20 each.</t>
        </r>
      </text>
    </comment>
    <comment ref="K18" authorId="0">
      <text>
        <r>
          <rPr>
            <sz val="10"/>
            <rFont val="Arial"/>
            <family val="2"/>
          </rPr>
          <t xml:space="preserve">Live: $0.22 each.</t>
        </r>
      </text>
    </comment>
    <comment ref="K25" authorId="0">
      <text>
        <r>
          <rPr>
            <sz val="10"/>
            <rFont val="Arial"/>
            <family val="2"/>
          </rPr>
          <t xml:space="preserve">ESTIMATE US$0.04–0.10 (quote). Most low-MOQ listings ship with METAL lids, which can't be induction sealed – specify black PP caps with a glass-rated induction or PS22 liner.</t>
        </r>
      </text>
    </comment>
    <comment ref="K26" authorId="0">
      <text>
        <r>
          <rPr>
            <sz val="10"/>
            <rFont val="Arial"/>
            <family val="2"/>
          </rPr>
          <t xml:space="preserve">ESTIMATE US$0.04–0.10 (quote). Most low-MOQ listings ship with METAL lids, which can't be induction sealed – specify black PP caps with a glass-rated induction or PS22 liner.</t>
        </r>
      </text>
    </comment>
    <comment ref="K27" authorId="0">
      <text>
        <r>
          <rPr>
            <sz val="10"/>
            <rFont val="Arial"/>
            <family val="2"/>
          </rPr>
          <t xml:space="preserve">ESTIMATE US$0.04–0.10 (quote). Most low-MOQ listings ship with METAL lids, which can't be induction sealed – specify black PP caps with a glass-rated induction or PS22 liner.</t>
        </r>
      </text>
    </comment>
    <comment ref="K34" authorId="0">
      <text>
        <r>
          <rPr>
            <sz val="10"/>
            <rFont val="Arial"/>
            <family val="2"/>
          </rPr>
          <t xml:space="preserve">Live list price; member pricing (login) may be lower.</t>
        </r>
      </text>
    </comment>
    <comment ref="K35" authorId="0">
      <text>
        <r>
          <rPr>
            <sz val="10"/>
            <rFont val="Arial"/>
            <family val="2"/>
          </rPr>
          <t xml:space="preserve">PLACEHOLDER – quote required.</t>
        </r>
      </text>
    </comment>
    <comment ref="K36" authorId="0">
      <text>
        <r>
          <rPr>
            <sz val="10"/>
            <rFont val="Arial"/>
            <family val="2"/>
          </rPr>
          <t xml:space="preserve">Live list price.</t>
        </r>
      </text>
    </comment>
    <comment ref="K43" authorId="0">
      <text>
        <r>
          <rPr>
            <sz val="10"/>
            <rFont val="Arial"/>
            <family val="2"/>
          </rPr>
          <t xml:space="preserve">Included in jar price.</t>
        </r>
      </text>
    </comment>
    <comment ref="K44" authorId="0">
      <text>
        <r>
          <rPr>
            <sz val="10"/>
            <rFont val="Arial"/>
            <family val="2"/>
          </rPr>
          <t xml:space="preserve">Included in jar price.</t>
        </r>
      </text>
    </comment>
    <comment ref="K45" authorId="0">
      <text>
        <r>
          <rPr>
            <sz val="10"/>
            <rFont val="Arial"/>
            <family val="2"/>
          </rPr>
          <t xml:space="preserve">Included in jar price.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16" authorId="0">
      <text>
        <r>
          <rPr>
            <sz val="10"/>
            <rFont val="Arial"/>
            <family val="2"/>
          </rPr>
          <t xml:space="preserve">Live tiers/case: 1–49 $13.35; 50–299 $11.45; 300–1,199 $9.69; 1,200+ $8.59. 2,000 jars = 84 cases. Origin not stated.</t>
        </r>
      </text>
    </comment>
    <comment ref="G17" authorId="0">
      <text>
        <r>
          <rPr>
            <sz val="10"/>
            <rFont val="Arial"/>
            <family val="2"/>
          </rPr>
          <t xml:space="preserve">Live tiers/case: base $8.13; 67–479 $7.45; 480–1,919 $5.89; 1,920+ $4.98. 500 jars = 42 cases → base tier.</t>
        </r>
      </text>
    </comment>
    <comment ref="G18" authorId="0">
      <text>
        <r>
          <rPr>
            <sz val="10"/>
            <rFont val="Arial"/>
            <family val="2"/>
          </rPr>
          <t xml:space="preserve">Live tiers/case: base $6.99; 40–175 $5.29; 176–703 $4.74; 704+ $4.34. Confirmed amber. 500 jars = 42 cases. Burch has NO amber 8 oz.</t>
        </r>
      </text>
    </comment>
    <comment ref="G25" authorId="0">
      <text>
        <r>
          <rPr>
            <sz val="10"/>
            <rFont val="Arial"/>
            <family val="2"/>
          </rPr>
          <t xml:space="preserve">Live tiers/case: 1–47 $13.85; 48–155 $12.95; 156–299 $12.15; 300–1,199 $11.25; 1,200+ $10.40. Overflow 4.83 fl oz.</t>
        </r>
      </text>
    </comment>
    <comment ref="G26" authorId="0">
      <text>
        <r>
          <rPr>
            <sz val="10"/>
            <rFont val="Arial"/>
            <family val="2"/>
          </rPr>
          <t xml:space="preserve">Live tiers/case: 1–59 $7.99; 60–259 $7.40; 260–499 $7.05; 500+ $6.85. Overflow 6.76 fl oz (200 ml).</t>
        </r>
      </text>
    </comment>
    <comment ref="G27" authorId="0">
      <text>
        <r>
          <rPr>
            <sz val="10"/>
            <rFont val="Arial"/>
            <family val="2"/>
          </rPr>
          <t xml:space="preserve">Live tiers/case: 1–63 $6.35; 64–175 $5.60; 176–351 $5.20; 352+ $4.85.</t>
        </r>
      </text>
    </comment>
    <comment ref="I7" authorId="0">
      <text>
        <r>
          <rPr>
            <sz val="10"/>
            <rFont val="Arial"/>
            <family val="2"/>
          </rPr>
          <t xml:space="preserve">Live: Xuzhou Das lists frosted and clear amber at the same price, $0.41 at 2,000+ (stock; MOQ 20,000 if out of stock). $0.46 used to stay conservative.</t>
        </r>
      </text>
    </comment>
    <comment ref="I8" authorId="0">
      <text>
        <r>
          <rPr>
            <sz val="10"/>
            <rFont val="Arial"/>
            <family val="2"/>
          </rPr>
          <t xml:space="preserve">Frosted at 500 units is uncertain: custom frost MOQs are typically 1,000–10,000. ESTIMATE.</t>
        </r>
      </text>
    </comment>
    <comment ref="I9" authorId="0">
      <text>
        <r>
          <rPr>
            <sz val="10"/>
            <rFont val="Arial"/>
            <family val="2"/>
          </rPr>
          <t xml:space="preserve">Live: Xuzhou Das 8 oz/250 ml $0.41–0.42; Xuzhou Huiju 8 oz 70-400 $0.09–0.55 (MOQ 100, metal lid; snippet).</t>
        </r>
      </text>
    </comment>
    <comment ref="I34" authorId="0">
      <text>
        <r>
          <rPr>
            <sz val="10"/>
            <rFont val="Arial"/>
            <family val="2"/>
          </rPr>
          <t xml:space="preserve">Live: $0.75, 90/case, in stock. Plain amber.</t>
        </r>
      </text>
    </comment>
    <comment ref="I35" authorId="0">
      <text>
        <r>
          <rPr>
            <sz val="10"/>
            <rFont val="Arial"/>
            <family val="2"/>
          </rPr>
          <t xml:space="preserve">US$1.57 latest (older snapshot $1.42).</t>
        </r>
      </text>
    </comment>
    <comment ref="I36" authorId="0">
      <text>
        <r>
          <rPr>
            <sz val="10"/>
            <rFont val="Arial"/>
            <family val="2"/>
          </rPr>
          <t xml:space="preserve">Live: $1.57, OUT OF STOCK.</t>
        </r>
      </text>
    </comment>
    <comment ref="K7" authorId="0">
      <text>
        <r>
          <rPr>
            <sz val="10"/>
            <rFont val="Arial"/>
            <family val="2"/>
          </rPr>
          <t xml:space="preserve">ESTIMATE US$0.04–0.10 (quote). Most low-MOQ listings ship with METAL lids, which can't be induction sealed – specify black PP caps with a glass-rated induction or PS22 liner.</t>
        </r>
      </text>
    </comment>
    <comment ref="K8" authorId="0">
      <text>
        <r>
          <rPr>
            <sz val="10"/>
            <rFont val="Arial"/>
            <family val="2"/>
          </rPr>
          <t xml:space="preserve">ESTIMATE US$0.04–0.10 (quote). Most low-MOQ listings ship with METAL lids, which can't be induction sealed – specify black PP caps with a glass-rated induction or PS22 liner.</t>
        </r>
      </text>
    </comment>
    <comment ref="K9" authorId="0">
      <text>
        <r>
          <rPr>
            <sz val="10"/>
            <rFont val="Arial"/>
            <family val="2"/>
          </rPr>
          <t xml:space="preserve">ESTIMATE US$0.04–0.10 (quote). Most low-MOQ listings ship with METAL lids, which can't be induction sealed – specify black PP caps with a glass-rated induction or PS22 liner.</t>
        </r>
      </text>
    </comment>
    <comment ref="K16" authorId="0">
      <text>
        <r>
          <rPr>
            <sz val="10"/>
            <rFont val="Arial"/>
            <family val="2"/>
          </rPr>
          <t xml:space="preserve">Live: $0.16; $0.14 at 1,650+. Made in USA (caps are not on the surtax list).</t>
        </r>
      </text>
    </comment>
    <comment ref="K17" authorId="0">
      <text>
        <r>
          <rPr>
            <sz val="10"/>
            <rFont val="Arial"/>
            <family val="2"/>
          </rPr>
          <t xml:space="preserve">Live: $0.13; $0.11 at 1,500+.</t>
        </r>
      </text>
    </comment>
    <comment ref="K18" authorId="0">
      <text>
        <r>
          <rPr>
            <sz val="10"/>
            <rFont val="Arial"/>
            <family val="2"/>
          </rPr>
          <t xml:space="preserve">Live: $0.17; $0.15 at 1,150+.</t>
        </r>
      </text>
    </comment>
    <comment ref="K25" authorId="0">
      <text>
        <r>
          <rPr>
            <sz val="10"/>
            <rFont val="Arial"/>
            <family val="2"/>
          </rPr>
          <t xml:space="preserve">$125 per case of 1,100 → 2 cases for 2,000.</t>
        </r>
      </text>
    </comment>
    <comment ref="K26" authorId="0">
      <text>
        <r>
          <rPr>
            <sz val="10"/>
            <rFont val="Arial"/>
            <family val="2"/>
          </rPr>
          <t xml:space="preserve">Live: $0.20 each.</t>
        </r>
      </text>
    </comment>
    <comment ref="K27" authorId="0">
      <text>
        <r>
          <rPr>
            <sz val="10"/>
            <rFont val="Arial"/>
            <family val="2"/>
          </rPr>
          <t xml:space="preserve">Live: $0.22 each.</t>
        </r>
      </text>
    </comment>
    <comment ref="K34" authorId="0">
      <text>
        <r>
          <rPr>
            <sz val="10"/>
            <rFont val="Arial"/>
            <family val="2"/>
          </rPr>
          <t xml:space="preserve">ASSUMPTION – cap price based on Burch/Fillmore range.</t>
        </r>
      </text>
    </comment>
    <comment ref="K35" authorId="0">
      <text>
        <r>
          <rPr>
            <sz val="10"/>
            <rFont val="Arial"/>
            <family val="2"/>
          </rPr>
          <t xml:space="preserve">ASSUMPTION.</t>
        </r>
      </text>
    </comment>
    <comment ref="K36" authorId="0">
      <text>
        <r>
          <rPr>
            <sz val="10"/>
            <rFont val="Arial"/>
            <family val="2"/>
          </rPr>
          <t xml:space="preserve">Live: $0.31.</t>
        </r>
      </text>
    </comment>
  </commentList>
</comments>
</file>

<file path=xl/sharedStrings.xml><?xml version="1.0" encoding="utf-8"?>
<sst xmlns="http://schemas.openxmlformats.org/spreadsheetml/2006/main" count="1988" uniqueCount="957">
  <si>
    <t xml:space="preserve">FINAL RECOMMENDATION – Amber straight-sided jars &amp; launch plan</t>
  </si>
  <si>
    <t xml:space="preserve">Updated Oct 9, 2026 with LIVE supplier prices. Volumes: Balance 2,000 · 60ct 500 · 90ct 500 (edit on Inputs). Blue cells are editable; replace with written quotes and everything recalculates.</t>
  </si>
  <si>
    <t xml:space="preserve">⚠ CONFIRMED: Canada charges a 50% surtax on US-MADE glass jars (SOR/2026-186, tariff 7010.90.00, since Sept 8, 2026). It's based on where the jar was made. China-made jars: no duty, no surtax.</t>
  </si>
  <si>
    <t xml:space="preserve">1. THE DECISION</t>
  </si>
  <si>
    <t xml:space="preserve">Bottle style</t>
  </si>
  <si>
    <t xml:space="preserve">Launch order</t>
  </si>
  <si>
    <t xml:space="preserve">1st: 90ct androgen-balancing (berberine). 2nd: 60ct liver booster, positioned as an add-on to Balance AND the 90ct. Balance moves to the new jar when its jars arrive.</t>
  </si>
  <si>
    <t xml:space="preserve">Jar per SKU</t>
  </si>
  <si>
    <t xml:space="preserve">Balance → 4 oz (looks like today) · 60ct → 6 oz / 175–190 ml · 90ct → 8 oz (237 ml; ~270 ml brim-full). The 8 oz works whether the 90ct ends up size 0 (~61% full) or 00 (fits).</t>
  </si>
  <si>
    <t xml:space="preserve">90ct (launch first)</t>
  </si>
  <si>
    <t xml:space="preserve">Buy 500 × 8 oz LOCALLY now. Cheapest landed: SKS Bottle (free UPS to Ontario, induction-lined caps). Get the jar's country of origin first – if US-made, Uline's 8 oz (Canadian stock) costs about the same.</t>
  </si>
  <si>
    <t xml:space="preserve">Balance + 60ct</t>
  </si>
  <si>
    <t xml:space="preserve">Finish</t>
  </si>
  <si>
    <t xml:space="preserve">Cheaper but less certain</t>
  </si>
  <si>
    <t xml:space="preserve">Future reorders</t>
  </si>
  <si>
    <t xml:space="preserve">Once volumes grow, move the 90ct to a China 250 ml jar on the same order as Balance + 60ct so all three jars match and freight is shared.</t>
  </si>
  <si>
    <t xml:space="preserve">2. LOCAL JAR FOR THE 90ct – 500 × 8 oz (cheapest landed highlighted; live prices)</t>
  </si>
  <si>
    <t xml:space="preserve">Option</t>
  </si>
  <si>
    <t xml:space="preserve">Item</t>
  </si>
  <si>
    <t xml:space="preserve">Ships from</t>
  </si>
  <si>
    <t xml:space="preserve">Currency</t>
  </si>
  <si>
    <t xml:space="preserve">Jar price</t>
  </si>
  <si>
    <t xml:space="preserve">Cap price (per jar needed)</t>
  </si>
  <si>
    <t xml:space="preserve">Notes</t>
  </si>
  <si>
    <t xml:space="preserve">FX</t>
  </si>
  <si>
    <t xml:space="preserve">Goods (CAD/jar)</t>
  </si>
  <si>
    <t xml:space="preserve">Freight &amp; brokerage (CAD/jar)</t>
  </si>
  <si>
    <t xml:space="preserve">LANDED regular (CAD/jar)</t>
  </si>
  <si>
    <t xml:space="preserve">Landed if jar is US-made (+50% surtax)</t>
  </si>
  <si>
    <t xml:space="preserve">LANDED frosted (spray, CAD/jar)</t>
  </si>
  <si>
    <t xml:space="preserve">Capacity (ml, nominal)</t>
  </si>
  <si>
    <t xml:space="preserve">Looks full if size 0</t>
  </si>
  <si>
    <t xml:space="preserve">Fits size 00?</t>
  </si>
  <si>
    <t xml:space="preserve">Total regular (CAD)</t>
  </si>
  <si>
    <t xml:space="preserve">Total frosted (CAD)</t>
  </si>
  <si>
    <t xml:space="preserve">SKS Bottle (US)</t>
  </si>
  <si>
    <t xml:space="preserve">40530080.03S 8 oz amber SS 70/400 (case 36)</t>
  </si>
  <si>
    <t xml:space="preserve">US</t>
  </si>
  <si>
    <t xml:space="preserve">USD</t>
  </si>
  <si>
    <t xml:space="preserve">Live $31.68/36. Cap 2101-79B black PP + foam INDUCTION liner, $159.60 per case of 760 (whole case spread over the jars needed). FREE UPS Ground to Ontario on US$500+ → only brokerage applies. Jar origin not stated ('kit assembled in USA').</t>
  </si>
  <si>
    <t xml:space="preserve">Bottlestore (US)</t>
  </si>
  <si>
    <t xml:space="preserve">55220042 8 oz amber SS 70-405 (fits 70-400); 272 ml brim-full</t>
  </si>
  <si>
    <t xml:space="preserve">Live $0.46 (24/ctn). Cap 70400OV black ribbed F217 $0.21 (Made in USA). Freight to Canada extra. Jar origin not stated (their 4 oz is Made in USA).</t>
  </si>
  <si>
    <t xml:space="preserve">Uline Canada (metal cap)</t>
  </si>
  <si>
    <t xml:space="preserve">S-25207 8 oz amber SS, black metal cap, plastisol liner</t>
  </si>
  <si>
    <t xml:space="preserve">Canada</t>
  </si>
  <si>
    <t xml:space="preserve">CAD</t>
  </si>
  <si>
    <t xml:space="preserve">Live CAD 2.20 at 3+ cases, cap included. Canadian stock (any surtax is already in Uline's price). Metal/plastisol cap can't be induction sealed – use a shrink band. Phenolic version S-24533 CAD 2.35.</t>
  </si>
  <si>
    <t xml:space="preserve">Voyageur (Canada)</t>
  </si>
  <si>
    <t xml:space="preserve">GJ-AMB-70-400-8OZ 8 oz amber glass 70-400</t>
  </si>
  <si>
    <t xml:space="preserve">Live single-unit price ($2.49 with ribbed cap). No bulk pricing; shape not confirmed straight-sided. Ask for a 500-unit quote.</t>
  </si>
  <si>
    <t xml:space="preserve">Alt: Richards 9 oz (Canada, China-made)</t>
  </si>
  <si>
    <t xml:space="preserve">RP-1001A 9 oz amber SS 70-400</t>
  </si>
  <si>
    <t xml:space="preserve">Live list price (member price may be lower); 70 mm black PP cap 32110979. No surtax risk. BUT a 9 oz looks only ~54% full if the 90ct is size 0.</t>
  </si>
  <si>
    <t xml:space="preserve">Alt: Burch 9 oz (US)</t>
  </si>
  <si>
    <t xml:space="preserve">1SSA092SGC 9 oz amber SS 70-400</t>
  </si>
  <si>
    <t xml:space="preserve">Live $5.29/12 at 40–175 cases; cap 2BP0701PX $0.17. Same ~54% look issue if size 0. Jar origin not stated.</t>
  </si>
  <si>
    <t xml:space="preserve">Cheapest 8 oz (used in table 4) →</t>
  </si>
  <si>
    <t xml:space="preserve">3. BALANCE (2,000 × 4 oz) + 60ct (500 × 6 oz) – China order vs buying locally</t>
  </si>
  <si>
    <t xml:space="preserve">Go with China ONLY IF the RFQ comes back ≤ US$0.50/jar including a PP cap with induction liner (both sizes, one supplier, matching style) AND LCL door-to-door ≤ CAD 1,100. Otherwise buy locally.</t>
  </si>
  <si>
    <t xml:space="preserve">Option / SKU</t>
  </si>
  <si>
    <t xml:space="preserve">Source</t>
  </si>
  <si>
    <t xml:space="preserve">Jar</t>
  </si>
  <si>
    <t xml:space="preserve">Jar + cap (native)</t>
  </si>
  <si>
    <t xml:space="preserve">Frosting (CAD/jar)</t>
  </si>
  <si>
    <t xml:space="preserve">Freight, brokerage, samples/QC (CAD/jar)</t>
  </si>
  <si>
    <t xml:space="preserve">LANDED (CAD/jar)</t>
  </si>
  <si>
    <t xml:space="preserve">Surtax if jar is US-made (CAD/jar)</t>
  </si>
  <si>
    <t xml:space="preserve">Landed if US-made</t>
  </si>
  <si>
    <t xml:space="preserve">Qty</t>
  </si>
  <si>
    <t xml:space="preserve">Total (CAD)</t>
  </si>
  <si>
    <t xml:space="preserve">Total if US-made (CAD)</t>
  </si>
  <si>
    <t xml:space="preserve">3a. CHINA – regular amber (one LCL shipment)</t>
  </si>
  <si>
    <t xml:space="preserve">Balance – 30ct</t>
  </si>
  <si>
    <t xml:space="preserve">China direct</t>
  </si>
  <si>
    <t xml:space="preserve">New A – 60ct</t>
  </si>
  <si>
    <t xml:space="preserve">Subtotal</t>
  </si>
  <si>
    <t xml:space="preserve">3b. LOCAL – Burch 4 oz + 6 oz, one US shipment</t>
  </si>
  <si>
    <t xml:space="preserve">Burch (US)</t>
  </si>
  <si>
    <t xml:space="preserve">3c. LOCAL – Richards 4 oz (Canada, China-made) + Burch 6 oz (small US shipment)</t>
  </si>
  <si>
    <t xml:space="preserve">Richards (Canada)</t>
  </si>
  <si>
    <t xml:space="preserve">3d. CHINA – frosted amber (one LCL shipment)</t>
  </si>
  <si>
    <t xml:space="preserve">China direct (frosted)</t>
  </si>
  <si>
    <t xml:space="preserve">3e. LOCAL frosted – Burch 4 oz + 6 oz + Canadian spray-frost</t>
  </si>
  <si>
    <t xml:space="preserve">Burch + spray frost</t>
  </si>
  <si>
    <t xml:space="preserve">China jar prices are live listing prices (made-in-china.com) or estimates – the RFQ replaces them. Most low-MOQ China jars come with metal lids; specify PP caps with induction/PS22 liners. Frosted 180 ml at 500 units may hit a higher MOQ.</t>
  </si>
  <si>
    <t xml:space="preserve">4. TOTAL COST BY PLAN (all three SKUs, CAD)</t>
  </si>
  <si>
    <t xml:space="preserve">Plan</t>
  </si>
  <si>
    <t xml:space="preserve">Total if US-made jars (surtax)</t>
  </si>
  <si>
    <t xml:space="preserve">Avg per jar</t>
  </si>
  <si>
    <t xml:space="preserve">vs bottle+lid benchmark (total)</t>
  </si>
  <si>
    <t xml:space="preserve">A. 90ct local 8 oz  +  Balance &amp; 60ct from CHINA – regular  (pick if Burch jars are US-made)</t>
  </si>
  <si>
    <t xml:space="preserve">B. 90ct local 8 oz  +  Balance &amp; 60ct from Burch, one shipment – regular  (pick if Burch jars are NOT US-made)</t>
  </si>
  <si>
    <t xml:space="preserve">C. 90ct local 8 oz  +  Richards 4 oz + Burch 6 oz – regular</t>
  </si>
  <si>
    <t xml:space="preserve">D. Everything from Burch in one shipment (90ct in 9 oz – borderline look if size 0) – regular</t>
  </si>
  <si>
    <t xml:space="preserve">E. 90ct local 8 oz spray-frosted  +  Balance &amp; 60ct frosted from CHINA</t>
  </si>
  <si>
    <t xml:space="preserve">F. 90ct local 8 oz spray-frosted  +  Burch 4 oz + 6 oz spray-frosted</t>
  </si>
  <si>
    <t xml:space="preserve">China saving vs local (A vs B):</t>
  </si>
  <si>
    <t xml:space="preserve">Positive = China cheaper. Small at these volumes, so China is only worth it if the RFQ targets in table 3 are met.</t>
  </si>
  <si>
    <t xml:space="preserve">Frosted premium (E vs A):</t>
  </si>
  <si>
    <t xml:space="preserve">Most of it is the spray-frost setup on just 500 × 8 oz. Negative 'vs benchmark' = cheaper than the ~$3.44 bottle+lid ceiling.</t>
  </si>
  <si>
    <t xml:space="preserve">5. TIMELINE</t>
  </si>
  <si>
    <t xml:space="preserve">Week 0 (now)</t>
  </si>
  <si>
    <t xml:space="preserve">Manufacturer: confirm straight-sided jars + tamper seal. Ask Burch and SKS where their jars are made. Request quotes: SKS 8 oz (90ct); Burch 4 oz + 6 oz in one shipment; China RFQ as the backup. Order samples (CPS sends free ones).</t>
  </si>
  <si>
    <t xml:space="preserve">Weeks 1–2</t>
  </si>
  <si>
    <t xml:space="preserve">Samples in hand → pour test (30 / 60 / 90 capsules). Decide regular vs frosted. Order 500 × 8 oz for the 90ct (SKS, or Uline if the SKS jar is US-made).</t>
  </si>
  <si>
    <t xml:space="preserve">Weeks 2–3</t>
  </si>
  <si>
    <t xml:space="preserve">8 oz jars arrive (UPS ~1 week) → bottle and LAUNCH the 90ct.</t>
  </si>
  <si>
    <t xml:space="preserve">Weeks 2–4</t>
  </si>
  <si>
    <t xml:space="preserve">Balance + 60ct: Burch jars NOT US-made → order from Burch (~2 weeks). US-made → place the China order if the RFQ meets the targets (~8–10 weeks door to door).</t>
  </si>
  <si>
    <t xml:space="preserve">When those jars land</t>
  </si>
  <si>
    <t xml:space="preserve">LAUNCH the 60ct liver booster when you're ready to space it out; switch Balance to the 4 oz jar when current bottle stock runs out.</t>
  </si>
  <si>
    <t xml:space="preserve">6. WHY THE 90ct LAUNCHES FIRST</t>
  </si>
  <si>
    <t xml:space="preserve">• Brings in NEW customers: androgen-driven acne (common in women with PCOS) is a different, large group from Balance's estrogen-driven acne.</t>
  </si>
  <si>
    <t xml:space="preserve">• Makes the liver booster easier to sell: launched second, it's an add-on to TWO products and can be offered to both customer groups.</t>
  </si>
  <si>
    <t xml:space="preserve">• Strong current demand for berberine, and it starts a PCOS line (possible inositol pairing later). Likely the highest order value.</t>
  </si>
  <si>
    <t xml:space="preserve">• Flip it (liver booster first) only if Balance has a large repeat customer base you want to upsell quickly, or marketing cash is tight. Your Hormone Imbalance Quiz results could confirm demand.</t>
  </si>
  <si>
    <t xml:space="preserve">• Plan for: berberine side effects (GI) and drug interactions (e.g. metformin, common in PCOS) → clear cautions and support. Product licence (NPN) claim wording per Health Canada.</t>
  </si>
  <si>
    <t xml:space="preserve">7. OPEN ITEMS BEFORE ORDERING</t>
  </si>
  <si>
    <t xml:space="preserve">1. Manufacturer: straight-sided jars OK? Tamper-seal method? Bottle + lid cost (enter on Inputs)?</t>
  </si>
  <si>
    <t xml:space="preserve">2. Country of origin for the SKS 8 oz (and Burch jars if used). US-made = 50% surtax on the jar value; ask a broker whether the remission order could refund it.</t>
  </si>
  <si>
    <t xml:space="preserve">3. China RFQ against the table 3 targets; confirm 180 ml at 500 units, PP caps with induction/PS22 liners, and matching style across sizes.</t>
  </si>
  <si>
    <t xml:space="preserve">4. Freight quotes to your postal code (LCL from China; US shipments). These are the biggest remaining estimates at 500-unit volumes.</t>
  </si>
  <si>
    <t xml:space="preserve">Current bottle style (amber wide-mouth PACKER) vs STRAIGHT-SIDED jars</t>
  </si>
  <si>
    <t xml:space="preserve">Live prices Oct 9, 2026. Same volumes as everywhere else (Inputs). Tamper method = cotton + outer shrink band (no heat seal); shrink bands cost about the same for both styles (~CAD 0.02/unit), so they're left out.</t>
  </si>
  <si>
    <t xml:space="preserve">1. PACKER SIZES THAT FIT (standard sizes are 120 / 150 / 200 / 250cc – nobody stocks 175 or 225cc)</t>
  </si>
  <si>
    <t xml:space="preserve">SKU / scenario</t>
  </si>
  <si>
    <t xml:space="preserve">120cc (38-400)</t>
  </si>
  <si>
    <t xml:space="preserve">150cc (45-400)</t>
  </si>
  <si>
    <t xml:space="preserve">200cc (45-400)</t>
  </si>
  <si>
    <t xml:space="preserve">250cc (45-400)</t>
  </si>
  <si>
    <t xml:space="preserve">Recommended packer</t>
  </si>
  <si>
    <t xml:space="preserve">Capacity nominal / brim-full (cc)</t>
  </si>
  <si>
    <t xml:space="preserve">120 / 135</t>
  </si>
  <si>
    <t xml:space="preserve">150 / 171</t>
  </si>
  <si>
    <t xml:space="preserve">200 / 226</t>
  </si>
  <si>
    <t xml:space="preserve">250 / 275</t>
  </si>
  <si>
    <t xml:space="preserve">Balance – 30ct (current)</t>
  </si>
  <si>
    <t xml:space="preserve">120cc (as today)</t>
  </si>
  <si>
    <t xml:space="preserve">New A – 60ct (if size 0)</t>
  </si>
  <si>
    <t xml:space="preserve">150cc</t>
  </si>
  <si>
    <t xml:space="preserve">New A – 60ct (if size 00)</t>
  </si>
  <si>
    <t xml:space="preserve">150cc – tight, pour-test (fits brim-full)</t>
  </si>
  <si>
    <t xml:space="preserve">New B – 90ct (if size 0)</t>
  </si>
  <si>
    <t xml:space="preserve">250cc</t>
  </si>
  <si>
    <t xml:space="preserve">New B – 90ct (if size 00)</t>
  </si>
  <si>
    <t xml:space="preserve">Balance at ~40% is the same as today (owner accepted). Packers have shoulders, so they tend to look fuller than a straight-sided jar at the same fill. A packer line needs only 2 neck sizes (38 + 45-400) vs 3 for jars.</t>
  </si>
  <si>
    <t xml:space="preserve">2. PACKER OPTIONS – landed cost (bottle + black PP cap + freight/brokerage)</t>
  </si>
  <si>
    <t xml:space="preserve">P1. REGULAR – TricorBraun 120 / 150 / 250cc, all three in ONE shipment (glass made in China → no surtax)</t>
  </si>
  <si>
    <t xml:space="preserve">Plan / SKU</t>
  </si>
  <si>
    <t xml:space="preserve">Supplier</t>
  </si>
  <si>
    <t xml:space="preserve">Size</t>
  </si>
  <si>
    <t xml:space="preserve">Bottle price</t>
  </si>
  <si>
    <t xml:space="preserve">Cap price (per bottle needed)</t>
  </si>
  <si>
    <t xml:space="preserve">Goods (CAD/unit)</t>
  </si>
  <si>
    <t xml:space="preserve">Frosting (CAD/unit)</t>
  </si>
  <si>
    <t xml:space="preserve">Freight &amp; one-time (CAD/unit)</t>
  </si>
  <si>
    <t xml:space="preserve">LANDED (CAD/unit)</t>
  </si>
  <si>
    <t xml:space="preserve">Landed if US-made (+50% on glass)</t>
  </si>
  <si>
    <t xml:space="preserve">TricorBraun (US web store)</t>
  </si>
  <si>
    <t xml:space="preserve">319293 120cc amber packer, 38-400</t>
  </si>
  <si>
    <t xml:space="preserve">120cc</t>
  </si>
  <si>
    <t xml:space="preserve">Live: 18 cases × $37.63 = $677.34 for 2,268 bottles (cheaper than 16 cases at $44.80). Cap 348629 black PP F-217, $261 per case of 2,900. Glass origin China (stated).</t>
  </si>
  <si>
    <t xml:space="preserve">TricorBraun</t>
  </si>
  <si>
    <t xml:space="preserve">319904 150cc amber packer, 45-400</t>
  </si>
  <si>
    <t xml:space="preserve">Live: $5.00/case of 12 at 18+ cases. 45-400 black caps come in 2,000-piece cases ($198.53) – shared with the 250cc. Origin China.</t>
  </si>
  <si>
    <t xml:space="preserve">New B – 90ct</t>
  </si>
  <si>
    <t xml:space="preserve">319907 250cc amber packer, 45-400</t>
  </si>
  <si>
    <t xml:space="preserve">Live: $7.34/case of 12 at 18+ cases. Works for 90ct at size 0 or 00. Origin China.</t>
  </si>
  <si>
    <t xml:space="preserve">TOTAL</t>
  </si>
  <si>
    <t xml:space="preserve">P2. REGULAR – China packers for Balance + 60ct (one LCL) + TricorBraun 250cc for the 90ct (small US shipment)</t>
  </si>
  <si>
    <t xml:space="preserve">China – Jinan Snail / NOVA / Advantrio (RFQ)</t>
  </si>
  <si>
    <t xml:space="preserve">120cc amber packer, 38-400</t>
  </si>
  <si>
    <t xml:space="preserve">Live made-in-china: Snail $0.20 at 1,000+; NOVA $0.058–0.062; Advantrio MOQ 500 (quote). Cap ESTIMATE US$0.04 (may be included).</t>
  </si>
  <si>
    <t xml:space="preserve">150cc amber packer, 45-400</t>
  </si>
  <si>
    <t xml:space="preserve">As above. Confirm 500 per size.</t>
  </si>
  <si>
    <t xml:space="preserve">319907 250cc, 45-400</t>
  </si>
  <si>
    <t xml:space="preserve">Small US shipment for the launch SKU.</t>
  </si>
  <si>
    <t xml:space="preserve">P3. FROSTED – China frosted packers: Balance + 60ct by sea (LCL); 90ct by DDP AIR so it can launch first (~5–7 weeks incl. production)</t>
  </si>
  <si>
    <t xml:space="preserve">China – Jinan Snail (frosted amber)</t>
  </si>
  <si>
    <t xml:space="preserve">120cc frosted amber packer</t>
  </si>
  <si>
    <t xml:space="preserve">Live: Snail frosted amber $0.30 at 1,000–9,999. Confirm 500/size MOQ and whether cap is included.</t>
  </si>
  <si>
    <t xml:space="preserve">150cc frosted amber packer</t>
  </si>
  <si>
    <t xml:space="preserve">As above.</t>
  </si>
  <si>
    <t xml:space="preserve">250cc frosted amber packer</t>
  </si>
  <si>
    <t xml:space="preserve">Shipped separately by DDP air (Inputs) for speed. North America has NO frosted amber packers in stock.</t>
  </si>
  <si>
    <t xml:space="preserve">P4. FROSTED – China frosted packers for Balance + 60ct + TricorBraun 250cc spray-frosted in Canada for the 90ct</t>
  </si>
  <si>
    <t xml:space="preserve">As P3.</t>
  </si>
  <si>
    <t xml:space="preserve">TricorBraun + Stanpac spray frost</t>
  </si>
  <si>
    <t xml:space="preserve">Spray-frost setup spread over just 500 bottles; frost finish may not match China's etched frost.</t>
  </si>
  <si>
    <t xml:space="preserve">For comparison: STRAIGHT-SIDED frosted 90ct by DDP air from China (alternative to spray-frosting the 8 oz locally)</t>
  </si>
  <si>
    <t xml:space="preserve">China – Xuzhou Das (frosted 250 ml)</t>
  </si>
  <si>
    <t xml:space="preserve">Frosted amber straight-sided 250 ml</t>
  </si>
  <si>
    <t xml:space="preserve">250 ml</t>
  </si>
  <si>
    <t xml:space="preserve">Same DDP-air route as P3, applied to straight-sided jars.</t>
  </si>
  <si>
    <t xml:space="preserve">3. HEAD-TO-HEAD (all three SKUs, CAD) – best option of each style</t>
  </si>
  <si>
    <t xml:space="preserve">Style</t>
  </si>
  <si>
    <t xml:space="preserve">Best plan</t>
  </si>
  <si>
    <t xml:space="preserve">Total if US-made glass</t>
  </si>
  <si>
    <t xml:space="preserve">Avg per unit</t>
  </si>
  <si>
    <t xml:space="preserve">Packer saving vs straight-sided</t>
  </si>
  <si>
    <t xml:space="preserve">Regular</t>
  </si>
  <si>
    <t xml:space="preserve">Straight-sided</t>
  </si>
  <si>
    <t xml:space="preserve">Final tab Plan A or B (cheaper)</t>
  </si>
  <si>
    <t xml:space="preserve">Packer</t>
  </si>
  <si>
    <t xml:space="preserve">P1 or P2 (cheaper)</t>
  </si>
  <si>
    <t xml:space="preserve">Frosted</t>
  </si>
  <si>
    <t xml:space="preserve">Final tab Plan E, or China + DDP-air 90ct</t>
  </si>
  <si>
    <t xml:space="preserve">P3 or P4 (cheaper)</t>
  </si>
  <si>
    <t xml:space="preserve">4. RANKING – cost per bottle (CAD, landed)</t>
  </si>
  <si>
    <t xml:space="preserve">Rank</t>
  </si>
  <si>
    <t xml:space="preserve">Plan used</t>
  </si>
  <si>
    <t xml:space="preserve">Balance (per bottle)</t>
  </si>
  <si>
    <t xml:space="preserve">60ct (per bottle)</t>
  </si>
  <si>
    <t xml:space="preserve">90ct (per bottle)</t>
  </si>
  <si>
    <t xml:space="preserve">Avg per bottle</t>
  </si>
  <si>
    <t xml:space="preserve">Extra per bottle vs #1</t>
  </si>
  <si>
    <t xml:space="preserve">1</t>
  </si>
  <si>
    <t xml:space="preserve">Current bottle (packer) – regular</t>
  </si>
  <si>
    <t xml:space="preserve">P1 above</t>
  </si>
  <si>
    <t xml:space="preserve">2</t>
  </si>
  <si>
    <t xml:space="preserve">Current bottle (packer) – frosted</t>
  </si>
  <si>
    <t xml:space="preserve">P3 above</t>
  </si>
  <si>
    <t xml:space="preserve">3</t>
  </si>
  <si>
    <t xml:space="preserve">Straight-sided – regular</t>
  </si>
  <si>
    <t xml:space="preserve">Final tab Plan B (Burch 4+6 oz + cheapest 8 oz)</t>
  </si>
  <si>
    <t xml:space="preserve">4</t>
  </si>
  <si>
    <t xml:space="preserve">Straight-sided – frosted</t>
  </si>
  <si>
    <t xml:space="preserve">China frosted 4+6 oz + 8 oz frosted by DDP air</t>
  </si>
  <si>
    <t xml:space="preserve">Straight-sided regular rises to ~CAD 1.57/bottle if Burch's jars are US-made (50% surtax). Packer glass from TricorBraun is China-made (no surtax). Website prices + freight estimates: expect ±$0.10–0.20/bottle once quoted; the ranking is unlikely to change.</t>
  </si>
  <si>
    <t xml:space="preserve">5. BEYOND COST</t>
  </si>
  <si>
    <t xml:space="preserve">Packer – pros</t>
  </si>
  <si>
    <t xml:space="preserve">Cheaper in both finishes. Your manufacturer already fills and seals this style (no line-compatibility risk). Balance keeps its current bottle and label. Regular packers ship all three SKUs together from one North American supplier with China-made glass (no surtax). Only 2 neck/cap/band sizes.</t>
  </si>
  <si>
    <t xml:space="preserve">Packer – cons</t>
  </si>
  <si>
    <t xml:space="preserve">Not the designer's straight-sided look. 60ct in 150cc is tight if production lands on size 00 (pour-test; 200cc is the fallback but looks &lt; half if size 0). No frosted packers stocked in North America – frosted means China.</t>
  </si>
  <si>
    <t xml:space="preserve">Straight-sided – pros</t>
  </si>
  <si>
    <t xml:space="preserve">The designer's preferred, more premium look and bigger label panel. 6 oz fits the 60ct at either capsule size.</t>
  </si>
  <si>
    <t xml:space="preserve">Straight-sided – cons</t>
  </si>
  <si>
    <t xml:space="preserve">Costs more. Manufacturer must confirm their line handles it. Three neck sizes. Many US-distributor jars risk the 50% surtax unless origin is confirmed. Frosted 8 oz for the 90ct is expensive locally.</t>
  </si>
  <si>
    <t xml:space="preserve">Product Links – every listing used in the pricing (click to open)</t>
  </si>
  <si>
    <t xml:space="preserve">Prices as captured on supplier websites, Oct 9, 2026. Prices change; confirm by quote.</t>
  </si>
  <si>
    <t xml:space="preserve">Product</t>
  </si>
  <si>
    <t xml:space="preserve">Price captured (Oct 9, 2026)</t>
  </si>
  <si>
    <t xml:space="preserve">Link</t>
  </si>
  <si>
    <t xml:space="preserve">CURRENT BOTTLE STYLE (amber wide-mouth packer) – regular</t>
  </si>
  <si>
    <t xml:space="preserve">TricorBraun (US store; glass made in China)</t>
  </si>
  <si>
    <t xml:space="preserve">120cc packer 38-400 (319293) – Balance</t>
  </si>
  <si>
    <t xml:space="preserve">$37.63/case of 126 at 18+ cases</t>
  </si>
  <si>
    <t xml:space="preserve">https://www.tricorbraun.com/120-cc-amber-glass-round-packer-bottle-38-400-neck-finish.html</t>
  </si>
  <si>
    <t xml:space="preserve">150cc packer 45-400 (319904) – 60ct</t>
  </si>
  <si>
    <t xml:space="preserve">$5.00/case of 12 at 18+ cases</t>
  </si>
  <si>
    <t xml:space="preserve">https://www.tricorbraun.com/150-cc-amber-glass-round-packer-bottle-45-400-neck-finish-319904.html</t>
  </si>
  <si>
    <t xml:space="preserve">200cc packer 45-400 (319906) – 60ct fallback</t>
  </si>
  <si>
    <t xml:space="preserve">$6.42/case of 12 at 18+ cases</t>
  </si>
  <si>
    <t xml:space="preserve">https://www.tricorbraun.com/200-cc-amber-glass-round-packer-bottle-45-400-neck-finish-319906.html</t>
  </si>
  <si>
    <t xml:space="preserve">250cc packer 45-400 (319907) – 90ct</t>
  </si>
  <si>
    <t xml:space="preserve">$7.34/case of 12 at 18+ cases</t>
  </si>
  <si>
    <t xml:space="preserve">https://www.tricorbraun.com/250-cc-amber-glass-round-packer-bottle-45-400-neck-finish.html</t>
  </si>
  <si>
    <t xml:space="preserve">38-400 black PP cap, F-217 liner (348629)</t>
  </si>
  <si>
    <t xml:space="preserve">$261/case of 2,900</t>
  </si>
  <si>
    <t xml:space="preserve">https://www.tricorbraun.com/38-400-black-pp-plastic-continuous-thread-closure-f-217-liner.html</t>
  </si>
  <si>
    <t xml:space="preserve">45-400 black PP cap (HS-035 liner)</t>
  </si>
  <si>
    <t xml:space="preserve">~$0.10–0.12 each in 2,000-pc case</t>
  </si>
  <si>
    <t xml:space="preserve">https://www.tricorbraun.com/45-400-black-pp-plastic-continuous-thread-lined-closure-hs-035-liner.html</t>
  </si>
  <si>
    <t xml:space="preserve">Containers &amp; Packaging Supply</t>
  </si>
  <si>
    <t xml:space="preserve">120cc packer G18118AM</t>
  </si>
  <si>
    <t xml:space="preserve">$0.39 full case</t>
  </si>
  <si>
    <t xml:space="preserve">https://www.containerandpackaging.com/products/glass-packer-bottle/g18118am/</t>
  </si>
  <si>
    <t xml:space="preserve">150cc packer G18117AM</t>
  </si>
  <si>
    <t xml:space="preserve">$0.43 full case</t>
  </si>
  <si>
    <t xml:space="preserve">https://www.containerandpackaging.com/products/glass-packer-bottle/g18117am/</t>
  </si>
  <si>
    <t xml:space="preserve">200cc packer G18119AM</t>
  </si>
  <si>
    <t xml:space="preserve">$0.47 full case</t>
  </si>
  <si>
    <t xml:space="preserve">https://www.containerandpackaging.com/products/glass-packer-bottle/g18119am/</t>
  </si>
  <si>
    <t xml:space="preserve">SKS Bottle</t>
  </si>
  <si>
    <t xml:space="preserve">120cc pharmaceutical round (packer) 40110120.01M</t>
  </si>
  <si>
    <t xml:space="preserve">$45.31/96 on special; free UPS to Ontario on US$500+</t>
  </si>
  <si>
    <t xml:space="preserve">https://www.sks-bottle.com/340c/fin7552.html</t>
  </si>
  <si>
    <t xml:space="preserve">Bottlestore</t>
  </si>
  <si>
    <t xml:space="preserve">120cc amber packer</t>
  </si>
  <si>
    <t xml:space="preserve">$0.49</t>
  </si>
  <si>
    <t xml:space="preserve">https://www.bottlestore.com/120cc-amber-wide-mouth-packer-round-glass-bottle-38-405-neck.html</t>
  </si>
  <si>
    <t xml:space="preserve">150cc amber packer</t>
  </si>
  <si>
    <t xml:space="preserve">$0.42</t>
  </si>
  <si>
    <t xml:space="preserve">https://www.bottlestore.com/150cc-amber-glass-wide-mouth-round-packer-bottle-round-45-400-neck.html</t>
  </si>
  <si>
    <t xml:space="preserve">250cc amber packer (Made in USA – surtax)</t>
  </si>
  <si>
    <t xml:space="preserve">$0.67</t>
  </si>
  <si>
    <t xml:space="preserve">https://www.bottlestore.com/250cc-amber-wide-mouth-round-glass-bottle-45-400.html</t>
  </si>
  <si>
    <t xml:space="preserve">Specialty Bottle</t>
  </si>
  <si>
    <t xml:space="preserve">120cc packer with cap (GPA120B)</t>
  </si>
  <si>
    <t xml:space="preserve">$0.62 at 1,000–4,999</t>
  </si>
  <si>
    <t xml:space="preserve">https://www.specialtybottle.com/glass-bottles/pharma-vitamins/120cc-gpa120b</t>
  </si>
  <si>
    <t xml:space="preserve">250cc packer with cap (GPA250B)</t>
  </si>
  <si>
    <t xml:space="preserve">$1.10 at 144–999</t>
  </si>
  <si>
    <t xml:space="preserve">https://www.specialtybottle.com/glass-bottles/pharma-vitamins/250cc-gpa250b</t>
  </si>
  <si>
    <t xml:space="preserve">Uline Canada</t>
  </si>
  <si>
    <t xml:space="preserve">Amber wide-mouth glass jars (packer) 4 oz / 8 oz</t>
  </si>
  <si>
    <t xml:space="preserve">CAD 1.60 / 2.05 incl. cap</t>
  </si>
  <si>
    <t xml:space="preserve">https://www.uline.ca/BL_755/Amber-Wide-Mouth-Glass-Jars</t>
  </si>
  <si>
    <t xml:space="preserve">China – Jinan Snail</t>
  </si>
  <si>
    <t xml:space="preserve">Amber packer 120/150/200/250cc</t>
  </si>
  <si>
    <t xml:space="preserve">US$0.20 at 1,000+</t>
  </si>
  <si>
    <t xml:space="preserve">https://snailglass.en.made-in-china.com/product/jTORWMIxHtYo/China-Wide-Mouth-Medicine-Tablets-Supplement-Bottles-Amber-120cc-150cc-200cc-250cc-300cc-500cc-Round-Glass-Pill-Capsule-Bottle.html</t>
  </si>
  <si>
    <t xml:space="preserve">China – Advantrio</t>
  </si>
  <si>
    <t xml:space="preserve">Amber packer bottles (MOQ 500)</t>
  </si>
  <si>
    <t xml:space="preserve">US$0.079–0.424 (quote)</t>
  </si>
  <si>
    <t xml:space="preserve">https://advantriopackaging.en.made-in-china.com/product/jAmpHKYyCXUB/China-Amber-Glass-Wide-Mouth-Packer-Bottles-Pharmaceutical-Jars-for-Pill-Capsule-Tablet-Medicine.html</t>
  </si>
  <si>
    <t xml:space="preserve">China – NOVA</t>
  </si>
  <si>
    <t xml:space="preserve">Amber packer 100–300ml with screw cap</t>
  </si>
  <si>
    <t xml:space="preserve">US$0.058–0.15 at 1,000</t>
  </si>
  <si>
    <t xml:space="preserve">https://nuohuabaozhuang.en.made-in-china.com/product/OTpRyhFDrKYW/China-Wholesale-100ml-120ml-150ml-200ml-250ml-300ml-Amber-Wide-Mouth-Pharmaceutical-Grade-Glass-Bottle-with-Screw-Cap-for-Pills.html</t>
  </si>
  <si>
    <t xml:space="preserve">CURRENT BOTTLE STYLE – frosted (China only; none stocked in North America)</t>
  </si>
  <si>
    <t xml:space="preserve">Frosted amber wide-mouth pill bottle</t>
  </si>
  <si>
    <t xml:space="preserve">US$0.30 at 1,000–9,999</t>
  </si>
  <si>
    <t xml:space="preserve">https://snailglass.en.made-in-china.com/product/iJIRHfKEItpO/China-Wholesale-Amber-Frosted-Empty-Wide-Mouth-Glass-Bottle-Medicine-Pill-Bottles.html</t>
  </si>
  <si>
    <t xml:space="preserve">Frosted 100–250ml health/capsule bottle</t>
  </si>
  <si>
    <t xml:space="preserve">US$0.30</t>
  </si>
  <si>
    <t xml:space="preserve">https://snailglass.en.made-in-china.com/product/MxEYkSFGJRrb/China-100ml-120ml-150ml-250ml-Frosted-Glass-Health-Bottle-Capsule-with-Screw-Lid.html</t>
  </si>
  <si>
    <t xml:space="preserve">Frosted amber 120ml pill bottle (MOQ 500)</t>
  </si>
  <si>
    <t xml:space="preserve">Quote</t>
  </si>
  <si>
    <t xml:space="preserve">https://advantriopackaging.en.made-in-china.com/product/RtXYDOaMZBUC/China-Wholesale-Empty-Wide-Mouth-Amber-Frosted-Glass-Jar-Pill-Capsule-Bottle-120ml.html</t>
  </si>
  <si>
    <t xml:space="preserve">Frosted 200ml pill bottle (MOQ 500)</t>
  </si>
  <si>
    <t xml:space="preserve">https://advantriopackaging.en.made-in-china.com/product/uASYIkaDhBRw/China-Luxury-Custom-Wide-Mouth-200ml-Frosted-Glass-Pill-Bottle-Jar-with-Lid.html</t>
  </si>
  <si>
    <t xml:space="preserve">STRAIGHT-SIDED JARS – regular</t>
  </si>
  <si>
    <t xml:space="preserve">Burch Bottle</t>
  </si>
  <si>
    <t xml:space="preserve">4 oz amber straight-sided 58-400 (1SSA042GHG)</t>
  </si>
  <si>
    <t xml:space="preserve">$11.45/24 at 50–299 cs</t>
  </si>
  <si>
    <t xml:space="preserve">https://www.burchbottle.com/4oz-Amber-Straight-Sided-Jar-58-400</t>
  </si>
  <si>
    <t xml:space="preserve">6 oz amber straight-sided 63-400 (1SSA062GHG)</t>
  </si>
  <si>
    <t xml:space="preserve">$8.13/12 base</t>
  </si>
  <si>
    <t xml:space="preserve">https://www.burchbottle.com/6oz-Amber-Straight-Sided-Jar-63-400</t>
  </si>
  <si>
    <t xml:space="preserve">9 oz amber straight-sided 70-400 (1SSA092SGC)</t>
  </si>
  <si>
    <t xml:space="preserve">$5.29/12 at 40–175 cs</t>
  </si>
  <si>
    <t xml:space="preserve">https://www.burchbottle.com/9oz-Amber-Straight-Sided-Jar-70-400</t>
  </si>
  <si>
    <t xml:space="preserve">70-400 black PP cap PS22 (2BP0706MR)</t>
  </si>
  <si>
    <t xml:space="preserve">$0.30</t>
  </si>
  <si>
    <t xml:space="preserve">https://www.burchbottle.com/70-400-Black-Polypropylene-RM-Ps22-Print-F217-Lined-Cap</t>
  </si>
  <si>
    <t xml:space="preserve">Fillmore Container</t>
  </si>
  <si>
    <t xml:space="preserve">4 oz amber straight-sided (R04-30C)</t>
  </si>
  <si>
    <t xml:space="preserve">$12.95/24</t>
  </si>
  <si>
    <t xml:space="preserve">https://www.fillmorecontainer.com/r04-30c-case24ct-1-12oz.html</t>
  </si>
  <si>
    <t xml:space="preserve">6 oz amber straight-sided (B06-30C)</t>
  </si>
  <si>
    <t xml:space="preserve">$7.99/12</t>
  </si>
  <si>
    <t xml:space="preserve">https://www.fillmorecontainer.com/6-oz-amber-straight-sided-jar-case-of-12.html</t>
  </si>
  <si>
    <t xml:space="preserve">9 oz amber straight-sided (B09-30C)</t>
  </si>
  <si>
    <t xml:space="preserve">$6.35/12</t>
  </si>
  <si>
    <t xml:space="preserve">https://www.fillmorecontainer.com/9-oz-amber-straight-sided-jar.html</t>
  </si>
  <si>
    <t xml:space="preserve">4 oz straight-sided G850AM</t>
  </si>
  <si>
    <t xml:space="preserve">$0.45</t>
  </si>
  <si>
    <t xml:space="preserve">https://www.containerandpackaging.com/products/glass-straight-sided-jar/g850am/</t>
  </si>
  <si>
    <t xml:space="preserve">6 oz straight-sided G506AM</t>
  </si>
  <si>
    <t xml:space="preserve">$0.57 at 500</t>
  </si>
  <si>
    <t xml:space="preserve">https://www.containerandpackaging.com/products/glass-straight-sided-jar/G506AM/</t>
  </si>
  <si>
    <t xml:space="preserve">8 oz amber straight-sided 70/400 (40530080.03S) – 90ct</t>
  </si>
  <si>
    <t xml:space="preserve">$31.68/36</t>
  </si>
  <si>
    <t xml:space="preserve">https://www.sks-bottle.com/product/305037.html</t>
  </si>
  <si>
    <t xml:space="preserve">70/400 black cap, foam induction liner (2101-79)</t>
  </si>
  <si>
    <t xml:space="preserve">$159.60/760</t>
  </si>
  <si>
    <t xml:space="preserve">https://www.sks-bottle.com/product/10710.html</t>
  </si>
  <si>
    <t xml:space="preserve">Free shipping policy (Canada)</t>
  </si>
  <si>
    <t xml:space="preserve">US$500+ to Ontario</t>
  </si>
  <si>
    <t xml:space="preserve">https://www.sks-bottle.com/info/free_shipping.html</t>
  </si>
  <si>
    <t xml:space="preserve">8 oz amber straight-sided 70-405</t>
  </si>
  <si>
    <t xml:space="preserve">$0.46</t>
  </si>
  <si>
    <t xml:space="preserve">https://www.bottlestore.com/8oz-amber-glass-straight-sided-jar-70-405-neck-finish-24-pack.html</t>
  </si>
  <si>
    <t xml:space="preserve">4 oz straight-sided, phenolic cap (S-24532) – designer's link</t>
  </si>
  <si>
    <t xml:space="preserve">CAD 1.67 at 3+ cs</t>
  </si>
  <si>
    <t xml:space="preserve">https://www.uline.ca/Product/Detail/S-24532</t>
  </si>
  <si>
    <t xml:space="preserve">8 oz straight-sided, phenolic cap (S-24533)</t>
  </si>
  <si>
    <t xml:space="preserve">CAD 2.35 at 3+ cs</t>
  </si>
  <si>
    <t xml:space="preserve">https://www.uline.ca/Product/Detail/S-24533</t>
  </si>
  <si>
    <t xml:space="preserve">8 oz straight-sided, metal cap (S-25207)</t>
  </si>
  <si>
    <t xml:space="preserve">CAD 2.20 at 3+ cs</t>
  </si>
  <si>
    <t xml:space="preserve">https://www.uline.ca/Product/Detail/S-25207</t>
  </si>
  <si>
    <t xml:space="preserve">Richards Packaging</t>
  </si>
  <si>
    <t xml:space="preserve">4 oz amber straight-sided (RP-1159A) – China-made</t>
  </si>
  <si>
    <t xml:space="preserve">CAD 0.96 list</t>
  </si>
  <si>
    <t xml:space="preserve">https://www.richardspackaging.com/products/4-oz-amber-glass-round-straight-sided-jar-58-400-24-rp-1159a</t>
  </si>
  <si>
    <t xml:space="preserve">9 oz amber straight-sided (RP-1001A) – China-made</t>
  </si>
  <si>
    <t xml:space="preserve">CAD 0.99 list</t>
  </si>
  <si>
    <t xml:space="preserve">https://www.richardspackaging.com/products/9-oz-amber-glass-straight-sided-jar-70-400-12-rp-1001a</t>
  </si>
  <si>
    <t xml:space="preserve">Voyageur Soap &amp; Candle</t>
  </si>
  <si>
    <t xml:space="preserve">8 oz amber glass jar 70-400</t>
  </si>
  <si>
    <t xml:space="preserve">CAD 1.95 single</t>
  </si>
  <si>
    <t xml:space="preserve">https://www.voyageursoapandcandle.com/products/8-oz-amber-glass-jar-with-70-400-neck-1</t>
  </si>
  <si>
    <t xml:space="preserve">China – Xuzhou Das</t>
  </si>
  <si>
    <t xml:space="preserve">Amber straight-sided 4/8 oz</t>
  </si>
  <si>
    <t xml:space="preserve">US$0.42 at 1,000+</t>
  </si>
  <si>
    <t xml:space="preserve">https://daspacking.en.made-in-china.com/product/kZwtFPjdwJWz/China-Wholesale-4oz-8oz-Clear-Amber-Straight-Sided-Empty-Luxury-Glass-Candle-Jar-in-Bulk-with-Lids-for-Candle-Packaging.html</t>
  </si>
  <si>
    <t xml:space="preserve">China – Chongqing Sincereal</t>
  </si>
  <si>
    <t xml:space="preserve">Amber jar 30–300ml incl. 180ml (MOQ 200)</t>
  </si>
  <si>
    <t xml:space="preserve">US$0.42 at 200–999</t>
  </si>
  <si>
    <t xml:space="preserve">https://sincerealpack.en.made-in-china.com/product/SnGRkCBVJTYp/China-30ml-180ml-250ml-4oz-8-Oz-Small-Round-Amber-Glass-Candle-Jar-with-Gold-Black-Metal-Lid.html</t>
  </si>
  <si>
    <t xml:space="preserve">China – Qingdao Giant</t>
  </si>
  <si>
    <t xml:space="preserve">Amber jar 120/150/180/240ml family</t>
  </si>
  <si>
    <t xml:space="preserve">Quote (stock)</t>
  </si>
  <si>
    <t xml:space="preserve">https://giantpkg.en.made-in-china.com/product/ywitSfBDbAaL/China-15ml-30ml-60ml-90ml-120ml-150ml-180ml-240ml-300ml-Amber-Glass-Jar-Candle-Jar-with-Screw-Cap.html</t>
  </si>
  <si>
    <t xml:space="preserve">China – Xuzhou Selead</t>
  </si>
  <si>
    <t xml:space="preserve">Amber straight-sided 2/4/6/8 oz</t>
  </si>
  <si>
    <t xml:space="preserve">US$0.20–0.80, MOQ 5,000</t>
  </si>
  <si>
    <t xml:space="preserve">https://xzselead.en.made-in-china.com/product/GamrQSoWqUcX/China-2oz-4oz-6oz-8oz-Amber-Glass-Jar-Straight-Sided-Glass-Candle-Jar-with-Metal-Lid-Clear-Amber-Glass-Storage-Jar-Candle-Holder.html</t>
  </si>
  <si>
    <t xml:space="preserve">STRAIGHT-SIDED JARS – frosted</t>
  </si>
  <si>
    <t xml:space="preserve">Frosted amber straight-sided 2/4/8 oz</t>
  </si>
  <si>
    <t xml:space="preserve">US$0.41 at 2,000+</t>
  </si>
  <si>
    <t xml:space="preserve">https://daspacking.en.made-in-china.com/product/CdRGEuVYJmpN/China-Wholesale-2oz-4oz-8oz-60g-120g-250g-Frosted-Clear-Amber-Airtight-Straight-Sided-Round-Face-Cosmetic-Cream-Candle-Glass-Jar-and-Container-with-Lids.html</t>
  </si>
  <si>
    <t xml:space="preserve">The Bottle Depot (designer's link)</t>
  </si>
  <si>
    <t xml:space="preserve">4 oz amber frosted straight-sided (frosted only up to 4 oz)</t>
  </si>
  <si>
    <t xml:space="preserve">$77.14/90 (sold out)</t>
  </si>
  <si>
    <t xml:space="preserve">https://thebottledepot.co/products/4-oz-amber-frosted-glass-straight-sided-round-jar-58-400-neck-finish</t>
  </si>
  <si>
    <t xml:space="preserve">Liquid Bottles</t>
  </si>
  <si>
    <t xml:space="preserve">9 oz frosted amber straight-sided (out of stock)</t>
  </si>
  <si>
    <t xml:space="preserve">$1.57</t>
  </si>
  <si>
    <t xml:space="preserve">https://www.liquidbottles.com/products/4738/9oz-Frosted-Amber-Glass-Jar-70-400-Neck-Finish-72cs</t>
  </si>
  <si>
    <t xml:space="preserve">Stanpac (Ontario)</t>
  </si>
  <si>
    <t xml:space="preserve">Spray-frost decorating (quote only)</t>
  </si>
  <si>
    <t xml:space="preserve">https://www.stanpacnet.com/glass-container-printing/</t>
  </si>
  <si>
    <t xml:space="preserve">SHRINK BANDS (tamper seal)</t>
  </si>
  <si>
    <t xml:space="preserve">Clear perforated shrink bands (38–70 mm)</t>
  </si>
  <si>
    <t xml:space="preserve">CAD 21–26 per 1,000</t>
  </si>
  <si>
    <t xml:space="preserve">https://www.uline.ca/BL_2410/Clear-Shrink-Bands</t>
  </si>
  <si>
    <t xml:space="preserve">Shrink bands</t>
  </si>
  <si>
    <t xml:space="preserve">~US$0.02 each</t>
  </si>
  <si>
    <t xml:space="preserve">https://www.sks-bottle.com/340c/fin6484.html</t>
  </si>
  <si>
    <t xml:space="preserve">DUTY, SURTAX &amp; FREIGHT SOURCES</t>
  </si>
  <si>
    <t xml:space="preserve">CBSA</t>
  </si>
  <si>
    <t xml:space="preserve">Customs Tariff 2026, chapter 70 (7010.90.00 MFN Free)</t>
  </si>
  <si>
    <t xml:space="preserve">—</t>
  </si>
  <si>
    <t xml:space="preserve">https://www.cbsa-asfc.gc.ca/trade-commerce/tariff-tarif/2026/01-99/ch70-2026-eng.pdf</t>
  </si>
  <si>
    <t xml:space="preserve">Canada Gazette</t>
  </si>
  <si>
    <t xml:space="preserve">United States Surtax Order (2026), SOR/2026-186 (50% on 7010.90.00)</t>
  </si>
  <si>
    <t xml:space="preserve">https://gazette.gc.ca/rp-pr/p2/2026/2026-09-23/html/sor-dors186-eng.html</t>
  </si>
  <si>
    <t xml:space="preserve">Customs Notice 26-23</t>
  </si>
  <si>
    <t xml:space="preserve">https://www.cbsa-asfc.gc.ca/publications/cn-ad/cn26-23-eng.html</t>
  </si>
  <si>
    <t xml:space="preserve">Justice Laws</t>
  </si>
  <si>
    <t xml:space="preserve">US Surtax Remission Order (possible refund)</t>
  </si>
  <si>
    <t xml:space="preserve">https://laws-lois.justice.gc.ca/eng/regulations/SOR-2025-122/FullText.html</t>
  </si>
  <si>
    <t xml:space="preserve">Sino Shipping</t>
  </si>
  <si>
    <t xml:space="preserve">China → Canada LCL rates</t>
  </si>
  <si>
    <t xml:space="preserve">US$190/m³</t>
  </si>
  <si>
    <t xml:space="preserve">https://www.sino-shipping.com/country-guides/shipping-from-china-to-canada/</t>
  </si>
  <si>
    <t xml:space="preserve">ddpchain</t>
  </si>
  <si>
    <t xml:space="preserve">China → Canada DDP sea/air per kg</t>
  </si>
  <si>
    <t xml:space="preserve">CAD 2.85/kg sea; 8.74/kg air</t>
  </si>
  <si>
    <t xml:space="preserve">https://ddpchain.com/canada/</t>
  </si>
  <si>
    <t xml:space="preserve">Clearit</t>
  </si>
  <si>
    <t xml:space="preserve">Customs brokerage fees</t>
  </si>
  <si>
    <t xml:space="preserve">CAD 84.95 + 5%</t>
  </si>
  <si>
    <t xml:space="preserve">https://clearit.ca/l/customs-broker</t>
  </si>
  <si>
    <t xml:space="preserve">Warp</t>
  </si>
  <si>
    <t xml:space="preserve">US LTL rate benchmarks</t>
  </si>
  <si>
    <t xml:space="preserve">500 lb pallet avg US$579</t>
  </si>
  <si>
    <t xml:space="preserve">https://wearewarp.com/research/ltl-rate-benchmarks</t>
  </si>
  <si>
    <t xml:space="preserve">Cocoon Supplements – Amber Straight-Sided Jar Sourcing</t>
  </si>
  <si>
    <t xml:space="preserve">Prepared by the procurement agent, updated Oct 9, 2026. Landed cost = jar + cap + freight, brokerage and one-time costs, in CAD per unit. Order: Balance 2,000 · new 60ct 500 · new 90ct 500 (edit on Inputs).</t>
  </si>
  <si>
    <t xml:space="preserve">⚠ CONFIRMED: Canada charges a 50% surtax on US-MADE glass jars since Sept 8, 2026 (SOR/2026-186, tariff 7010.90.00). It applies by where the jar was made, not where it ships from. Ask US suppliers for country of origin. Both cases are shown below.</t>
  </si>
  <si>
    <t xml:space="preserve">Benchmark (bottle + lid, CAD/unit)</t>
  </si>
  <si>
    <t xml:space="preserve">Implied max from the previous manufacturer's $3.74 all-in quote minus the $0.30 label. Enter your current manufacturer's figure on Inputs.</t>
  </si>
  <si>
    <t xml:space="preserve">REGULAR (glossy) – Top 3 single-source options (all three SKUs from one supplier)</t>
  </si>
  <si>
    <t xml:space="preserve">Jar sizes (30 / 60 / 90 ct)</t>
  </si>
  <si>
    <t xml:space="preserve">Landed CAD/unit</t>
  </si>
  <si>
    <t xml:space="preserve">Landed if US-made (surtax)</t>
  </si>
  <si>
    <t xml:space="preserve">Total all SKUs (CAD)</t>
  </si>
  <si>
    <t xml:space="preserve">Lead time</t>
  </si>
  <si>
    <t xml:space="preserve">Key pros</t>
  </si>
  <si>
    <t xml:space="preserve">Key risks / flags</t>
  </si>
  <si>
    <t xml:space="preserve">#1</t>
  </si>
  <si>
    <t xml:space="preserve">Burch Bottle &amp; Packaging (US)</t>
  </si>
  <si>
    <t xml:space="preserve">4 oz / 6 oz / 9 oz</t>
  </si>
  <si>
    <t xml:space="preserve">~1–2 wks + freight</t>
  </si>
  <si>
    <t xml:space="preserve">Lowest local cost; true 6 oz; deep stock; PS22 tamper-evident cap option</t>
  </si>
  <si>
    <t xml:space="preserve">Origin unknown (surtax risk); confirm 9 oz colour; USD/FX</t>
  </si>
  <si>
    <t xml:space="preserve">#2</t>
  </si>
  <si>
    <t xml:space="preserve">Fillmore Container (US)</t>
  </si>
  <si>
    <t xml:space="preserve">Confirms shipping to Canada; same 4/6/9 line</t>
  </si>
  <si>
    <t xml:space="preserve">~10% dearer than Burch; origin unknown (surtax risk)</t>
  </si>
  <si>
    <t xml:space="preserve">#3</t>
  </si>
  <si>
    <t xml:space="preserve">China direct factory</t>
  </si>
  <si>
    <t xml:space="preserve">120 / 180–190 / 250–270 ml</t>
  </si>
  <si>
    <t xml:space="preserve">10–13 weeks</t>
  </si>
  <si>
    <t xml:space="preserve">Cheapest; no surtax; duty Free</t>
  </si>
  <si>
    <t xml:space="preserve">Too slow for the urgent launch; RFQ + samples + QC needed; neck matching</t>
  </si>
  <si>
    <t xml:space="preserve">FROSTED / MATTE – Top 3 single-source options</t>
  </si>
  <si>
    <t xml:space="preserve">China direct factory (frosted)</t>
  </si>
  <si>
    <t xml:space="preserve">Far cheapest; true etched frost; no surtax</t>
  </si>
  <si>
    <t xml:space="preserve">Too slow for the urgent launch; 180–190 ml frosted needs RFQ; QC risk</t>
  </si>
  <si>
    <t xml:space="preserve">Burch + Canadian spray-frost</t>
  </si>
  <si>
    <t xml:space="preserve">~3–6 weeks</t>
  </si>
  <si>
    <t xml:space="preserve">North American; true 6 oz; frost done in Canada</t>
  </si>
  <si>
    <t xml:space="preserve">Frost cost is an estimate; spray can scuff; surtax risk on jars</t>
  </si>
  <si>
    <t xml:space="preserve">Fillmore + Canadian spray-frost</t>
  </si>
  <si>
    <t xml:space="preserve">As #2; Fillmore ships to Canada</t>
  </si>
  <si>
    <t xml:space="preserve">Slightly dearer than #2; same risks</t>
  </si>
  <si>
    <t xml:space="preserve">SPLIT PLAN – one launch SKU bought locally now, the other two from China (details on 'Split Plan' sheet)</t>
  </si>
  <si>
    <t xml:space="preserve">Description</t>
  </si>
  <si>
    <t xml:space="preserve">Total if US-made</t>
  </si>
  <si>
    <t xml:space="preserve">vs all-local</t>
  </si>
  <si>
    <t xml:space="preserve">vs all-local (surtax)</t>
  </si>
  <si>
    <t xml:space="preserve">R-A</t>
  </si>
  <si>
    <t xml:space="preserve">R-B1</t>
  </si>
  <si>
    <t xml:space="preserve">R-FX0</t>
  </si>
  <si>
    <t xml:space="preserve">R-B2</t>
  </si>
  <si>
    <t xml:space="preserve">R-B2c</t>
  </si>
  <si>
    <t xml:space="preserve">F-A</t>
  </si>
  <si>
    <t xml:space="preserve">F-B1</t>
  </si>
  <si>
    <t xml:space="preserve">F-FX0</t>
  </si>
  <si>
    <t xml:space="preserve">F-B2</t>
  </si>
  <si>
    <t xml:space="preserve">F-B2s</t>
  </si>
  <si>
    <t xml:space="preserve">Recommendation (on current estimates – verify with quotes)</t>
  </si>
  <si>
    <t xml:space="preserve">FINAL RECOMMENDATION: see the 'Final Recommendation' tab (first tab).</t>
  </si>
  <si>
    <t xml:space="preserve">  • Launch the 90ct androgen-balancing product first, in an 8 oz amber straight-sided jar bought locally (500 units; cheapest landed: SKS).</t>
  </si>
  <si>
    <t xml:space="preserve">  • Balance (4 oz) + 60ct liver booster (6 oz): buy both from Burch in one shipment if Burch's jars aren't US-made; if they are (50% surtax), a China order is cheaper.</t>
  </si>
  <si>
    <t xml:space="preserve">  • The tables above are the option analysis that led there.</t>
  </si>
  <si>
    <t xml:space="preserve">Inputs &amp; Assumptions</t>
  </si>
  <si>
    <t xml:space="preserve">Blue text on yellow = editable input. Every other sheet recalculates from these cells. Replace estimates with real quotes as they arrive.</t>
  </si>
  <si>
    <t xml:space="preserve">ORDER &amp; BENCHMARK</t>
  </si>
  <si>
    <t xml:space="preserve">Units – Balance 30ct (4 oz)</t>
  </si>
  <si>
    <t xml:space="preserve">Owner: ~2,000 per run for the existing product. ASSUMED unchanged – edit if needed.</t>
  </si>
  <si>
    <t xml:space="preserve">Units – New 60ct liver booster (6 oz)</t>
  </si>
  <si>
    <t xml:space="preserve">Owner: manufacturer can go as low as 500 per new SKU.</t>
  </si>
  <si>
    <t xml:space="preserve">Units – New 90ct androgen product (8 oz)</t>
  </si>
  <si>
    <t xml:space="preserve">Total units</t>
  </si>
  <si>
    <t xml:space="preserve">Sum of the three SKUs.</t>
  </si>
  <si>
    <t xml:space="preserve">Number of SKUs</t>
  </si>
  <si>
    <t xml:space="preserve">Balance (30x size 0) + new 60ct + new 90ct.</t>
  </si>
  <si>
    <t xml:space="preserve">USD → CAD exchange rate</t>
  </si>
  <si>
    <t xml:space="preserve">Bank of Canada rate, Oct 8, 2026. Update to your bank's rate on order day.</t>
  </si>
  <si>
    <t xml:space="preserve">Previous manufacturer – all-in packaging quote (CAD/unit)</t>
  </si>
  <si>
    <t xml:space="preserve">From owner: bottle + lid + label + seal + bubble wrap. Currency assumed CAD.</t>
  </si>
  <si>
    <t xml:space="preserve">Estimated label cost (CAD/unit)</t>
  </si>
  <si>
    <t xml:space="preserve">From owner's estimate.</t>
  </si>
  <si>
    <t xml:space="preserve">Implied MAX bottle + lid benchmark (CAD/unit)</t>
  </si>
  <si>
    <t xml:space="preserve">Upper bound only – the $3.74 also includes seal + bubble wrap, so true bottle + lid cost is lower.</t>
  </si>
  <si>
    <t xml:space="preserve">Current manufacturer bottle + lid cost (CAD/unit) – TO CONFIRM</t>
  </si>
  <si>
    <t xml:space="preserve">Fill in once your current manufacturer confirms. Leave blank to use the implied max above.</t>
  </si>
  <si>
    <t xml:space="preserve">Benchmark used in comparisons (CAD/unit)</t>
  </si>
  <si>
    <t xml:space="preserve">Uses the confirmed figure if entered, else the implied max.</t>
  </si>
  <si>
    <t xml:space="preserve">FREIGHT – ONE SHIPMENT FOR ALL THREE SKUs (~3,000 jars)</t>
  </si>
  <si>
    <t xml:space="preserve">US → Canada LTL, all SKUs in one shipment (~1 pallet, 900–1,100 lb) (USD)</t>
  </si>
  <si>
    <t xml:space="preserve">ESTIMATE: Warp LTL index (Oct 9, 2026) – 500 lb US domestic pallet avg US$579 (middle half $390–694); cross-border costs more. Get a quote to your postal code.</t>
  </si>
  <si>
    <t xml:space="preserve">Customs brokerage, US import (CAD)</t>
  </si>
  <si>
    <t xml:space="preserve">ESTIMATE: CAD 80–250. CPS includes brokerage in its online UPS rate.</t>
  </si>
  <si>
    <t xml:space="preserve">Domestic Canada freight, ~1 pallet (CAD)</t>
  </si>
  <si>
    <t xml:space="preserve">ESTIMATE: Freightera Ontario pallet samples CAD 74–135 (2020–22) plus growth; Uline/Richards show cost at checkout.</t>
  </si>
  <si>
    <t xml:space="preserve">China → your door, LCL all three SKUs (~1.6 m³, ~550 kg) (CAD)</t>
  </si>
  <si>
    <t xml:space="preserve">ESTIMATE from live forwarder rates (Oct 2026): LCL US$150–220/m³ (1 m³ minimum) + CFS/THC + docs + brokerage (Clearit CAD 84.95 + 5%) + delivery.</t>
  </si>
  <si>
    <t xml:space="preserve">FREIGHT – SMALL / SPLIT SHIPMENTS</t>
  </si>
  <si>
    <t xml:space="preserve">US → Canada, ONE SKU of ~500 jars (200–360 lb; courier or partial pallet) (USD)</t>
  </si>
  <si>
    <t xml:space="preserve">ESTIMATE: US$300–700. Exception: SKS ships free UPS Ground to Ontario on US$500+ orders (used on the Final tab).</t>
  </si>
  <si>
    <t xml:space="preserve">Customs brokerage, small US import (CAD)</t>
  </si>
  <si>
    <t xml:space="preserve">ESTIMATE: CAD 80–250.</t>
  </si>
  <si>
    <t xml:space="preserve">Domestic Canada freight, ONE SKU of ~500 jars (CAD)</t>
  </si>
  <si>
    <t xml:space="preserve">ESTIMATE: CAD 75–250.</t>
  </si>
  <si>
    <t xml:space="preserve">China → your door, LCL Balance 4 oz + 90ct 8 oz (~1.2 m³) (CAD)</t>
  </si>
  <si>
    <t xml:space="preserve">ESTIMATE from live rates (range CAD 550–1,600).</t>
  </si>
  <si>
    <t xml:space="preserve">China → your door, LCL Balance 4 oz + 60ct 6 oz (~1.0–1.3 m³, 350–450 kg) (CAD)</t>
  </si>
  <si>
    <t xml:space="preserve">ESTIMATE, mid case from live rates (range CAD 550–1,575). Balance alone ≈ CAD 1,015: adding the 60ct costs only ~CAD 35–110 because of the 1 m³ minimum.</t>
  </si>
  <si>
    <t xml:space="preserve">China → your door by DDP AIR, ONE SKU of ~500 bottles (~75–100 kg) (CAD)</t>
  </si>
  <si>
    <t xml:space="preserve">ESTIMATE: ddpchain DDP air ~CAD 8.74/kg; 7–12 days transit after production. Lets a China-made launch SKU arrive in ~5–7 weeks.</t>
  </si>
  <si>
    <t xml:space="preserve">China samples + courier + wire fees + light QC (CAD, one-time)</t>
  </si>
  <si>
    <t xml:space="preserve">ESTIMATE: CAD 250–900.</t>
  </si>
  <si>
    <t xml:space="preserve">DUTY &amp; SURTAX</t>
  </si>
  <si>
    <t xml:space="preserve">Import duty, glass jars HS 7010.90 (MFN – applies to China and US)</t>
  </si>
  <si>
    <t xml:space="preserve">VERIFIED: CBSA Customs Tariff T2026 ch. 70 (incl. T2026-2, Sept 1, 2026): 7010.90.00 MFN Free. No China surtax and no anti-dumping measure on glass jars.</t>
  </si>
  <si>
    <t xml:space="preserve">Canadian surtax on US-MADE glass jars (jar value only)</t>
  </si>
  <si>
    <t xml:space="preserve">VERIFIED: United States Surtax Order (2026), SOR/2026-186, Schedule 3 (50%) lists 7010.90.00; in force Sept 8, 2026 (CBSA Customs Notice 26-23). Applies to goods ORIGINATING in the US, wherever shipped from. Plastic caps (3923.50) are not listed. A remission order may refund it for goods used in Canadian manufacturing – ask a broker; plan as if payable.</t>
  </si>
  <si>
    <t xml:space="preserve">FROSTING / DECORATION (estimates – quote required)</t>
  </si>
  <si>
    <t xml:space="preserve">North American spray-frost per jar (CAD)</t>
  </si>
  <si>
    <t xml:space="preserve">ESTIMATE: CAD 0.30–0.60/jar. Stanpac (Smithville ON): spray frost, no minimum but economical at ~1 pallet, 3–5 weeks; no published price – quote required.</t>
  </si>
  <si>
    <t xml:space="preserve">North American spray-frost setup per SKU (CAD)</t>
  </si>
  <si>
    <t xml:space="preserve">ESTIMATE: CAD 300–1,000 per SKU.</t>
  </si>
  <si>
    <t xml:space="preserve">Freight to/from decorator (CAD)</t>
  </si>
  <si>
    <t xml:space="preserve">ESTIMATE.</t>
  </si>
  <si>
    <t xml:space="preserve">Capsule Fill Sizing – which jar fits each SKU and looks at least half full?</t>
  </si>
  <si>
    <t xml:space="preserve">Volume needed depends on the capsules, not the container shape. A straight-sided jar needs the same cc as a packer bottle; it's just shorter and wider. In a straight-sided jar the fill line rises evenly, so 'pile %' ≈ how full it looks.</t>
  </si>
  <si>
    <t xml:space="preserve">Capsule specs</t>
  </si>
  <si>
    <t xml:space="preserve">Capsule size</t>
  </si>
  <si>
    <t xml:space="preserve">Closed length (mm)</t>
  </si>
  <si>
    <t xml:space="preserve">Outer diameter (mm)</t>
  </si>
  <si>
    <t xml:space="preserve">Envelope volume per capsule (cc)</t>
  </si>
  <si>
    <t xml:space="preserve">Pile volume per capsule – capsules only (cc)</t>
  </si>
  <si>
    <t xml:space="preserve">Space needed per capsule incl. headspace (cc)</t>
  </si>
  <si>
    <t xml:space="preserve">0</t>
  </si>
  <si>
    <t xml:space="preserve">00</t>
  </si>
  <si>
    <t xml:space="preserve">Assumptions</t>
  </si>
  <si>
    <t xml:space="preserve">Packing fraction (share of space filled by randomly poured capsules)</t>
  </si>
  <si>
    <t xml:space="preserve">Random-packing estimate for capsule shapes. Calibrated to industry bottle charts (60x0 → 120cc, 90x0 → 175cc).</t>
  </si>
  <si>
    <t xml:space="preserve">Headspace allowance</t>
  </si>
  <si>
    <t xml:space="preserve">Room for cotton/desiccant and so the cap closes without crushing capsules.</t>
  </si>
  <si>
    <t xml:space="preserve">Owner rule: minimum visible fill</t>
  </si>
  <si>
    <t xml:space="preserve">From owner: no jar may look less than half full.</t>
  </si>
  <si>
    <t xml:space="preserve">Max space used before 'tight'</t>
  </si>
  <si>
    <t xml:space="preserve">Jar capacities (nominal)</t>
  </si>
  <si>
    <t xml:space="preserve">Capacity (ml)</t>
  </si>
  <si>
    <t xml:space="preserve">Neck finish</t>
  </si>
  <si>
    <t xml:space="preserve">4 oz</t>
  </si>
  <si>
    <t xml:space="preserve">58-400</t>
  </si>
  <si>
    <t xml:space="preserve">Nominal (label) capacity. Brim-full capacity is typically 10–15% higher, so the 'space used' results are conservative and the 'looks full' results are slightly generous.</t>
  </si>
  <si>
    <t xml:space="preserve">6 oz</t>
  </si>
  <si>
    <t xml:space="preserve">63-400</t>
  </si>
  <si>
    <t xml:space="preserve">190 ml (China)</t>
  </si>
  <si>
    <t xml:space="preserve">~63 mm</t>
  </si>
  <si>
    <t xml:space="preserve">8 oz</t>
  </si>
  <si>
    <t xml:space="preserve">70-400</t>
  </si>
  <si>
    <t xml:space="preserve">250 ml (China)</t>
  </si>
  <si>
    <t xml:space="preserve">~70 mm</t>
  </si>
  <si>
    <t xml:space="preserve">9 oz</t>
  </si>
  <si>
    <t xml:space="preserve">How full will it LOOK? (capsule pile ÷ jar capacity; red = below the half-full rule)</t>
  </si>
  <si>
    <t xml:space="preserve">Count</t>
  </si>
  <si>
    <t xml:space="preserve">Pile (cc)</t>
  </si>
  <si>
    <t xml:space="preserve">Needed incl. headspace (cc)</t>
  </si>
  <si>
    <t xml:space="preserve">Verdict per jar (OK · Tight – test · Looks &lt; half · Too small)</t>
  </si>
  <si>
    <t xml:space="preserve">Takeaways</t>
  </si>
  <si>
    <t xml:space="preserve">• Balance (30ct) in a 4 oz jar: the pile is ~41% of the jar, just under half. That's the same as today's 120cc bottle. The owner chose to keep it. Confirm with a 30-capsule pour test.</t>
  </si>
  <si>
    <t xml:space="preserve">  No North American stock line has a 2.5–3 oz amber straight-sided jar (they jump from 2 oz to 4 oz), so there is no easy smaller jar.</t>
  </si>
  <si>
    <t xml:space="preserve">• 60ct: must be a 6 oz / 177–190 ml jar. An 8–9 oz jar looks less than half full if production lands on size 0. Avoid anything over ~190 ml (e.g. a Chinese 7 oz / 200 ml).</t>
  </si>
  <si>
    <t xml:space="preserve">• 90ct: a 9 oz (266 ml) jar works for size 0 or 00. A 250 ml jar works but is close to the limit for size 00. An 8 oz is tight for size 00.</t>
  </si>
  <si>
    <t xml:space="preserve">• FINAL PLAN uses an 8 oz (237 ml; ~270 ml brim-full) for the 90ct. It looks ~61% full if size 0 and still fits size 00 (snug at nominal, ~81% of brim-full). A 9 oz is borderline (~54%) if size 0.</t>
  </si>
  <si>
    <t xml:space="preserve">• So every option now needs three jar sizes: ~4 oz, ~6 oz and ~9 oz. Lines with only 4 + 8/9 oz (Uline, Richards, Liquid Bottles) can't do the 60ct.</t>
  </si>
  <si>
    <t xml:space="preserve">• These are estimates. Before ordering at volume, fill one sample jar of each size with real capsules.</t>
  </si>
  <si>
    <t xml:space="preserve">Amber Straight-Sided Jars – REGULAR (glossy) finish: Top 3 single-source options (all three SKUs from one supplier)</t>
  </si>
  <si>
    <t xml:space="preserve">Ranked by landed cost (CAD/unit). Each option must fit all 3 SKUs AND pass the half-full rule, so the 60ct needs a ~6 oz jar. The 'if US-made' columns add the reported 50% surtax. Prices are from indexed supplier pages, Oct 2026 – verify by quote.</t>
  </si>
  <si>
    <t xml:space="preserve">#1  BURCH BOTTLE &amp; PACKAGING (New York, US)  –  4 oz / 6 oz / 9 oz, black PP caps</t>
  </si>
  <si>
    <t xml:space="preserve">Lowest North American cost. One of only three distributors with a true 6 oz amber (the others are Fillmore and Containers &amp; Packaging Supply). Volume tiers published; deep stock. Country of origin unknown; if the jars are US-made the 50% surtax applies.</t>
  </si>
  <si>
    <t xml:space="preserve">SKU</t>
  </si>
  <si>
    <t xml:space="preserve">Jar used</t>
  </si>
  <si>
    <t xml:space="preserve">Supplier item #</t>
  </si>
  <si>
    <t xml:space="preserve">Neck</t>
  </si>
  <si>
    <t xml:space="preserve">Jar case price</t>
  </si>
  <si>
    <t xml:space="preserve">Case pack</t>
  </si>
  <si>
    <t xml:space="preserve">Jar unit price</t>
  </si>
  <si>
    <t xml:space="preserve">Cap / liner</t>
  </si>
  <si>
    <t xml:space="preserve">Cap unit price</t>
  </si>
  <si>
    <t xml:space="preserve">FX to CAD</t>
  </si>
  <si>
    <t xml:space="preserve">Jar + cap (CAD/unit)</t>
  </si>
  <si>
    <t xml:space="preserve">Decoration (CAD/unit)</t>
  </si>
  <si>
    <t xml:space="preserve">Freight &amp; one-time costs (CAD/unit)</t>
  </si>
  <si>
    <t xml:space="preserve">Extended (CAD)</t>
  </si>
  <si>
    <t xml:space="preserve">50% surtax IF jar is US-made (jar value, CAD/unit)</t>
  </si>
  <si>
    <t xml:space="preserve">LANDED if US-made (CAD/unit)</t>
  </si>
  <si>
    <t xml:space="preserve">Extended if US-made (CAD)</t>
  </si>
  <si>
    <t xml:space="preserve">vs benchmark (CAD/unit)</t>
  </si>
  <si>
    <t xml:space="preserve">Price status</t>
  </si>
  <si>
    <t xml:space="preserve">Balance – 30x size 0</t>
  </si>
  <si>
    <t xml:space="preserve">1SSA042GHG</t>
  </si>
  <si>
    <t xml:space="preserve">2BP0581PX black PP ribbed (PE foam per spec)</t>
  </si>
  <si>
    <t xml:space="preserve">Live web price, Oct 9, 2026 – confirm by quote</t>
  </si>
  <si>
    <t xml:space="preserve">New A – 60ct (0 or 00)</t>
  </si>
  <si>
    <t xml:space="preserve">1SSA062GHG</t>
  </si>
  <si>
    <t xml:space="preserve">2BP0632PX black PP</t>
  </si>
  <si>
    <t xml:space="preserve">New B – 90ct (0 or 00)</t>
  </si>
  <si>
    <t xml:space="preserve">1SSA092SGC</t>
  </si>
  <si>
    <t xml:space="preserve">2BP0701PX black PP (PS22 tamper-evident: 2BP0706MR $0.30)</t>
  </si>
  <si>
    <t xml:space="preserve">Live web price, Oct 9, 2026 – confirm by quote. 9 oz looks ~54% full if size 0.</t>
  </si>
  <si>
    <t xml:space="preserve">TOTAL / weighted average</t>
  </si>
  <si>
    <t xml:space="preserve">One-time / shared costs (freight, brokerage, setup, QC) allocated across all units:</t>
  </si>
  <si>
    <t xml:space="preserve">Calc: US LTL freight × FX + brokerage (Inputs)</t>
  </si>
  <si>
    <t xml:space="preserve">#2  FILLMORE CONTAINER (Pennsylvania, US)  –  4 oz / 6 oz / 9 oz, black PP caps</t>
  </si>
  <si>
    <t xml:space="preserve">Same 4/6/9 oz structure as Burch, ~10% higher. FAQ confirms ground and freight shipping to Canada (buyer pays duties/fees). Country of origin unknown.</t>
  </si>
  <si>
    <t xml:space="preserve">R04-30C (case 24)</t>
  </si>
  <si>
    <t xml:space="preserve">RC-058 PBMR black PP, F217 liner</t>
  </si>
  <si>
    <t xml:space="preserve">B06-30C (case 12)</t>
  </si>
  <si>
    <t xml:space="preserve">RC-063 PBMR black PP, F217 liner (Made in USA)</t>
  </si>
  <si>
    <t xml:space="preserve">B09-30C (case 12)</t>
  </si>
  <si>
    <t xml:space="preserve">RC-070/400 PBS black smooth, F217 liner</t>
  </si>
  <si>
    <t xml:space="preserve">#3  CHINA DIRECT FACTORY  –  120 ml / 180–190 ml / 250–270 ml, black PP caps + glass-rated liner</t>
  </si>
  <si>
    <t xml:space="preserve">Cheapest even with LCL freight and QC costs, and no surtax (MFN duty Free). BUT 10–13 weeks including sampling, so it can't serve the urgent launch. No single factory listed all three necks; make 58/63/70-400 a hard RFQ requirement.</t>
  </si>
  <si>
    <t xml:space="preserve">120 ml</t>
  </si>
  <si>
    <t xml:space="preserve">amber SS jar – Xuzhou Das / Qingdao Giant / Sheenland (RFQ)</t>
  </si>
  <si>
    <t xml:space="preserve">58-400 (specify)</t>
  </si>
  <si>
    <t xml:space="preserve">n/a</t>
  </si>
  <si>
    <t xml:space="preserve">Black PP cap + glass-rated induction or PS22 liner</t>
  </si>
  <si>
    <t xml:space="preserve">ESTIMATE from Alibaba / Made-in-China listings – RFQ required</t>
  </si>
  <si>
    <t xml:space="preserve">180–190 ml</t>
  </si>
  <si>
    <t xml:space="preserve">amber SS jar – Sincereal / Qingdao Xinte / Qingdao Giant (RFQ)</t>
  </si>
  <si>
    <t xml:space="preserve">63-400 (specify)</t>
  </si>
  <si>
    <t xml:space="preserve">Black PP cap + glass-rated liner</t>
  </si>
  <si>
    <t xml:space="preserve">ESTIMATE from Alibaba / Made-in-China listings – RFQ required. Confirm 180–190 ml at 500 units.</t>
  </si>
  <si>
    <t xml:space="preserve">amber SS jar – Xuzhou Das 8 oz / Xuzhou Huiju 70-400</t>
  </si>
  <si>
    <t xml:space="preserve">ESTIMATE from Alibaba / Made-in-China listings – RFQ required. For future 90ct reorders.</t>
  </si>
  <si>
    <t xml:space="preserve">Calc: China LCL door-to-door + samples/QC (Inputs)</t>
  </si>
  <si>
    <t xml:space="preserve">REFERENCE (fails the half-full rule for the 60ct):  RICHARDS PACKAGING (Canada)  –  4 oz / 9 oz</t>
  </si>
  <si>
    <t xml:space="preserve">Canadian stock, CAD pricing, no border. Both jars are made in China (verified), so no surtax. No 6 oz, so it can't do the 60ct. Its 9 oz IS a strong option for the 90ct in a split order (see Split Plan sheet). Cap price is a placeholder (quote required).</t>
  </si>
  <si>
    <t xml:space="preserve">RP-1159A / 40210181</t>
  </si>
  <si>
    <t xml:space="preserve">32110846 58-400 black PP smooth, foam liner</t>
  </si>
  <si>
    <t xml:space="preserve">Live list price; origin China (verified). Member price may be lower.</t>
  </si>
  <si>
    <t xml:space="preserve">New A – 60ct ✗ (9 oz looks &lt; half)</t>
  </si>
  <si>
    <t xml:space="preserve">RP-1001A / 40220146</t>
  </si>
  <si>
    <t xml:space="preserve">70-400 black PP</t>
  </si>
  <si>
    <t xml:space="preserve">FAILS half-full rule for 60ct</t>
  </si>
  <si>
    <t xml:space="preserve">32110979 70 mm black PP deep-skirt, PE foam</t>
  </si>
  <si>
    <t xml:space="preserve">Live list price. 9 oz looks ~54% full if size 0.</t>
  </si>
  <si>
    <t xml:space="preserve">Calc: Domestic Canada freight (Inputs)</t>
  </si>
  <si>
    <t xml:space="preserve">REFERENCE (fails the half-full rule for the 60ct):  ULINE CANADA – the jar your designer linked  –  4 oz / 8 oz</t>
  </si>
  <si>
    <t xml:space="preserve">Fast and Canadian, but about 2x the cost. No 6 oz. Uline says its phenolic pulp/vinyl cap is not airtight and can't be induction sealed. Fine for samples.</t>
  </si>
  <si>
    <t xml:space="preserve">S-24532</t>
  </si>
  <si>
    <t xml:space="preserve">Black phenolic, pulp/vinyl liner (included)</t>
  </si>
  <si>
    <t xml:space="preserve">Indexed web price (uline.ca)</t>
  </si>
  <si>
    <t xml:space="preserve">New A – 60ct ✗ (8 oz looks &lt; half if size 0)</t>
  </si>
  <si>
    <t xml:space="preserve">S-24533</t>
  </si>
  <si>
    <t xml:space="preserve">FAILS half-full rule for 60ct at size 0</t>
  </si>
  <si>
    <t xml:space="preserve">Indexed web price. 90x00 tight in 8 oz – test.</t>
  </si>
  <si>
    <t xml:space="preserve">Amber Straight-Sided Jars – MATTE / FROSTED finish: Top 3 single-source options (all three SKUs from one supplier)</t>
  </si>
  <si>
    <t xml:space="preserve">No North American distributor stocks frosted amber straight-sided jars in 4 + 6 + 9 oz. The designer's Bottle Depot jar is frosted only up to 4 oz. So frosted means China direct, or plain amber jars frosted by a decorator.</t>
  </si>
  <si>
    <t xml:space="preserve">#1  CHINA DIRECT FACTORY  –  frosted amber 120 ml / 180–190 ml / 250–270 ml</t>
  </si>
  <si>
    <t xml:space="preserve">Lowest cost by far, with a true acid-etched/sandblasted frost (more durable than spray). No surtax. 10–13 weeks including sampling, so it can't serve the urgent launch. Xuzhou Das lists frosted amber 2/4/8 oz at MOQ 2,000; a 180–190 ml frosted size needs RFQ confirmation.</t>
  </si>
  <si>
    <t xml:space="preserve">frosted (acid-etch/sandblast) amber SS jar – Xuzhou Das / Qingdao Giant / Sheenland (RFQ)</t>
  </si>
  <si>
    <t xml:space="preserve">frosted (acid-etch/sandblast) amber SS jar – Sincereal / Qingdao Xinte / Qingdao Giant (RFQ)</t>
  </si>
  <si>
    <t xml:space="preserve">frosted (acid-etch/sandblast) amber SS jar – Xuzhou Das 8 oz / Xuzhou Huiju 70-400</t>
  </si>
  <si>
    <t xml:space="preserve">#2  BURCH plain amber (4/6/9 oz)  +  SPRAY-FROSTED by a Canadian decorator (e.g. Stanpac Ink, Ontario)</t>
  </si>
  <si>
    <t xml:space="preserve">Best North American route: real 6 oz, stock jars, ~3–6 weeks. Jar and cap prices as Regular #1. Frosting is a CAD estimate (quote required). Spray frost is a lacquer, so test for scuffing.</t>
  </si>
  <si>
    <t xml:space="preserve">Jar/cap: indexed web price. Frosting: ESTIMATE – quote required</t>
  </si>
  <si>
    <t xml:space="preserve">Calc: US freight × FX + brokerage + frost setup × SKUs + decorator freight (Inputs)</t>
  </si>
  <si>
    <t xml:space="preserve">#3  FILLMORE plain amber (4/6/9 oz)  +  SPRAY-FROSTED by a Canadian decorator</t>
  </si>
  <si>
    <t xml:space="preserve">Same route as #2 using Fillmore jars. Slightly dearer, but Fillmore explicitly ships to Canada.</t>
  </si>
  <si>
    <t xml:space="preserve">REFERENCE (fails):  LIQUID BOTTLES (Florida, US)  –  9 oz frosted amber only, OUT OF STOCK</t>
  </si>
  <si>
    <t xml:space="preserve">Live check: GJ402-F is PLAIN amber, not frosted (their only frosted 4 oz is frosted CLEAR). The 9 oz frosted amber (now GJ908-H2, $1.57) is out of stock. No frosted 6 or 8 oz. No North American seller has frosted amber 6 or 8 oz in small quantities.</t>
  </si>
  <si>
    <t xml:space="preserve">GJ402-F (PLAIN amber – not frosted)</t>
  </si>
  <si>
    <t xml:space="preserve">58-400 black PP, F217 liner</t>
  </si>
  <si>
    <t xml:space="preserve">PLAIN amber – not frosted</t>
  </si>
  <si>
    <t xml:space="preserve">GJ908-H2 (frosted amber)</t>
  </si>
  <si>
    <t xml:space="preserve">70-400 black PP, F217 liner</t>
  </si>
  <si>
    <t xml:space="preserve">PKCS070KPS-C 70-400 black PS22</t>
  </si>
  <si>
    <t xml:space="preserve">OUT OF STOCK</t>
  </si>
  <si>
    <t xml:space="preserve">Split sourcing: buy one launch SKU locally now, the other two from China (~3 months)?</t>
  </si>
  <si>
    <t xml:space="preserve">Plan A = all three SKUs bought locally. Plan B1 = 60ct jars local + Balance &amp; 90ct from China. Plan B2 = 90ct jars local + Balance &amp; 60ct from China. Plan C = all from China (reference: too slow for the urgent launch). Each line links to the Top 3 sheets for prices and to Inputs for freight.</t>
  </si>
  <si>
    <t xml:space="preserve">SCENARIO COMPARISON  (lowest total in each finish highlighted green)</t>
  </si>
  <si>
    <t xml:space="preserve">Total (CAD) – jars NOT US-made</t>
  </si>
  <si>
    <t xml:space="preserve">vs Plan A</t>
  </si>
  <si>
    <t xml:space="preserve">Total (CAD) – IF US jars are US-made (50% surtax)</t>
  </si>
  <si>
    <t xml:space="preserve">vs Plan A (surtax)</t>
  </si>
  <si>
    <t xml:space="preserve">Avg CAD/unit (no surtax)</t>
  </si>
  <si>
    <t xml:space="preserve">Meets launch timing?</t>
  </si>
  <si>
    <t xml:space="preserve">Regular – all local (Burch; 90ct jar size guessed now)</t>
  </si>
  <si>
    <t xml:space="preserve">Yes</t>
  </si>
  <si>
    <t xml:space="preserve">Regular – FLEX: 6 oz local; 90ct is size 00 → 60ct launches</t>
  </si>
  <si>
    <t xml:space="preserve">Regular – FLEX: 6 oz local; 90ct is size 0 → 90ct launches</t>
  </si>
  <si>
    <t xml:space="preserve">Regular – 90ct local (Burch 9 oz), rest China</t>
  </si>
  <si>
    <t xml:space="preserve">Regular – 90ct local (Richards, Canada), rest China</t>
  </si>
  <si>
    <t xml:space="preserve">R-C</t>
  </si>
  <si>
    <t xml:space="preserve">Regular – all China (reference)</t>
  </si>
  <si>
    <t xml:space="preserve">No – ~3 months</t>
  </si>
  <si>
    <t xml:space="preserve">Frosted – all local (Burch + spray frost)</t>
  </si>
  <si>
    <t xml:space="preserve">Frosted – FLEX: 6 oz local; 90ct is size 00 → 60ct launches</t>
  </si>
  <si>
    <t xml:space="preserve">Frosted – FLEX: 6 oz local; 90ct is size 0 → 90ct launches</t>
  </si>
  <si>
    <t xml:space="preserve">Frosted – 90ct local (Burch 9 oz + spray frost), rest China</t>
  </si>
  <si>
    <t xml:space="preserve">Frosted – 90ct local (Liquid Bottles stock), rest China</t>
  </si>
  <si>
    <t xml:space="preserve">Yes, if in stock</t>
  </si>
  <si>
    <t xml:space="preserve">F-C</t>
  </si>
  <si>
    <t xml:space="preserve">Frosted – all China (reference)</t>
  </si>
  <si>
    <t xml:space="preserve">How to read this</t>
  </si>
  <si>
    <t xml:space="preserve">• FINAL PLAN is on the 'Final Recommendation' tab (90ct in an 8 oz bought locally; Balance + 60ct from China). The FLEX PLAN rows were an earlier option: buy 2,000 x 6 oz locally now. At production, pour-test the 90ct. If it fits the 6 oz (size 0) → launch the 90ct; if not (size 00) → launch the 60ct. The 6 oz is used either way because the 60ct always needs it. Then order Balance + the remaining SKU's jar from China. Bold rows = the two possible outcomes.</t>
  </si>
  <si>
    <t xml:space="preserve">• 'vs Plan A' is negative when the plan is cheaper than buying everything locally. Note Plan A has to guess the 90ct jar now. A 9 oz looks ~54% full if it ends up size 0, which is borderline.</t>
  </si>
  <si>
    <t xml:space="preserve">• China's fixed costs (LCL freight with a 1 m³ minimum, brokerage, samples, QC) are spread over few jars at these volumes. That cancels most of China's cheaper glass for REGULAR jars, but not for FROSTED, where local spray-frosting is expensive.</t>
  </si>
  <si>
    <t xml:space="preserve">• The surtax columns only matter if the US distributor's jars were made in the USA. Richards (Canada; China-made) and China-direct jars are not affected.</t>
  </si>
  <si>
    <t xml:space="preserve">• Look consistency: in a split, the first-launch SKU's jar comes from a different maker (and for frosted, sprayed vs etched frost). You can switch it to the China jar at its first reorder.</t>
  </si>
  <si>
    <t xml:space="preserve">REGULAR (glossy) amber – scenario detail</t>
  </si>
  <si>
    <t xml:space="preserve">R-A  –  All local: Burch 4/6/9 oz in one shipment</t>
  </si>
  <si>
    <t xml:space="preserve">Jar + cap price (native)</t>
  </si>
  <si>
    <t xml:space="preserve">50% surtax if US-made (CAD/unit)</t>
  </si>
  <si>
    <t xml:space="preserve">LANDED if US-made</t>
  </si>
  <si>
    <t xml:space="preserve">Burch (local)</t>
  </si>
  <si>
    <t xml:space="preserve">TOTAL / average</t>
  </si>
  <si>
    <t xml:space="preserve">R-B1  –  FLEX PLAN, outcome 90ct = size 00: 6 oz bought locally goes to the 60ct (launches first) · Balance + 90ct (9 oz / 250–270 ml) from China</t>
  </si>
  <si>
    <t xml:space="preserve">China</t>
  </si>
  <si>
    <t xml:space="preserve">Burch (local, 1 pallet)</t>
  </si>
  <si>
    <t xml:space="preserve">R-FX0  –  FLEX PLAN, outcome 90ct = size 0: 6 oz bought locally goes to the 90ct (launches first) · Balance + 60ct (6 oz) from China</t>
  </si>
  <si>
    <t xml:space="preserve">Burch 6 oz (local, 1 pallet)</t>
  </si>
  <si>
    <t xml:space="preserve">R-B2  –  90ct local (Burch 9 oz) · Balance + 60ct from China</t>
  </si>
  <si>
    <t xml:space="preserve">R-B2c  –  90ct local (Richards 9 oz, Canadian stock) · Balance + 60ct from China</t>
  </si>
  <si>
    <t xml:space="preserve">Richards (Canada, 1 pallet)</t>
  </si>
  <si>
    <t xml:space="preserve">R-C  –  All from China (reference – too slow for the urgent launch)</t>
  </si>
  <si>
    <t xml:space="preserve">FROSTED amber – scenario detail</t>
  </si>
  <si>
    <t xml:space="preserve">F-A  –  All local: Burch 4/6/9 oz + Canadian spray-frost</t>
  </si>
  <si>
    <t xml:space="preserve">F-B1  –  FLEX PLAN, outcome 90ct = size 00: 6 oz (Burch + spray frost) local → 60ct · Balance + 90ct frosted from China</t>
  </si>
  <si>
    <t xml:space="preserve">Burch + spray frost (1 pallet)</t>
  </si>
  <si>
    <t xml:space="preserve">F-FX0  –  FLEX PLAN, outcome 90ct = size 0: 6 oz (Burch + spray frost) local → 90ct · Balance + 60ct frosted (6 oz) from China</t>
  </si>
  <si>
    <t xml:space="preserve">Burch 6 oz + spray frost (1 pallet)</t>
  </si>
  <si>
    <t xml:space="preserve">F-B2  –  90ct local (Burch 9 oz + spray frost) · Balance + 60ct frosted from China</t>
  </si>
  <si>
    <t xml:space="preserve">F-B2s  –  90ct local (Liquid Bottles 9 oz stock frosted) · Balance + 60ct frosted from China</t>
  </si>
  <si>
    <t xml:space="preserve">Liquid Bottles frosted (1 pallet)</t>
  </si>
  <si>
    <t xml:space="preserve">F-C  –  All frosted from China (reference – too slow for the urgent launch)</t>
  </si>
  <si>
    <t xml:space="preserve">Every supplier screened – raw findings</t>
  </si>
  <si>
    <t xml:space="preserve">Prices as indexed (native currency). 'Meets rules' = has a jar for each SKU that fits AND looks at least half full (needs ~4, ~6 and ~9 oz).</t>
  </si>
  <si>
    <t xml:space="preserve">Location / ships from</t>
  </si>
  <si>
    <t xml:space="preserve">Amber straight-sided sizes offered</t>
  </si>
  <si>
    <t xml:space="preserve">Has ~6 oz?</t>
  </si>
  <si>
    <t xml:space="preserve">Meets rules?</t>
  </si>
  <si>
    <t xml:space="preserve">Indicative jar price (native)</t>
  </si>
  <si>
    <t xml:space="preserve">Caps</t>
  </si>
  <si>
    <t xml:space="preserve">Verdict</t>
  </si>
  <si>
    <t xml:space="preserve">Source URL</t>
  </si>
  <si>
    <t xml:space="preserve">Burch Bottle &amp; Packaging</t>
  </si>
  <si>
    <t xml:space="preserve">NY, USA (USD). Jar origin not stated; caps Made in USA</t>
  </si>
  <si>
    <t xml:space="preserve">4 (58-400), 6 (63-400), 9 (70-400); NO amber 8 oz</t>
  </si>
  <si>
    <t xml:space="preserve">Live: 4oz $0.477 @2,000 · 6oz $0.678 @500 · 9oz $0.441 @500</t>
  </si>
  <si>
    <t xml:space="preserve">Black PP $0.13–0.17; PS22 only on 70-400 ($0.30)</t>
  </si>
  <si>
    <t xml:space="preserve">TOP 3 – #1 (local)</t>
  </si>
  <si>
    <t xml:space="preserve">PA, USA (USD); ships to Canada. Origin not stated</t>
  </si>
  <si>
    <t xml:space="preserve">4, 6 (6.76 fl oz overflow), 9, 16 oz; no amber 8 oz</t>
  </si>
  <si>
    <t xml:space="preserve">Live: 4oz $0.540 @2,000 · 6oz $0.666 @500 · 9oz $0.529 @500</t>
  </si>
  <si>
    <t xml:space="preserve">Black PP F217 $0.125–0.22</t>
  </si>
  <si>
    <t xml:space="preserve">TOP 3 – #2</t>
  </si>
  <si>
    <t xml:space="preserve">China direct – Xuzhou Das / Qingdao Giant / Sincereal / Xuzhou Selead / Qingdao Xinte</t>
  </si>
  <si>
    <t xml:space="preserve">China (USD FOB)</t>
  </si>
  <si>
    <t xml:space="preserve">120 ml, 175–180 ml, 250 ml (Selead &amp; Qingdao Giant list matching families)</t>
  </si>
  <si>
    <t xml:space="preserve">Yes (175–180 ml)</t>
  </si>
  <si>
    <t xml:space="preserve">Yes (via RFQ)</t>
  </si>
  <si>
    <t xml:space="preserve">Live: 120 ml $0.41–0.45; 180 ml $0.42 @200–999 (Sincereal); MOQs 200–10,000</t>
  </si>
  <si>
    <t xml:space="preserve">Mostly METAL lids at low MOQ – specify PP + induction liner</t>
  </si>
  <si>
    <t xml:space="preserve">TOP 3 – #3 / Balance + 60ct</t>
  </si>
  <si>
    <t xml:space="preserve">ID, USA (USD); UPS rate shown online includes brokerage</t>
  </si>
  <si>
    <t xml:space="preserve">4 (G850AM), 6 (G506AM), 9 (G842AM – unavailable)</t>
  </si>
  <si>
    <t xml:space="preserve">Live: 4oz $0.45 @2,000 (cheapest 4 oz) · 6oz $0.57 @500 (63-400 cap unavailable)</t>
  </si>
  <si>
    <t xml:space="preserve">58-400 black foam $0.13–0.17; 70-400 black PS $0.15–0.23</t>
  </si>
  <si>
    <t xml:space="preserve">Free samples (up to 10) – good for Balance</t>
  </si>
  <si>
    <t xml:space="preserve">Canada (CAD); jars made in China (verified)</t>
  </si>
  <si>
    <t xml:space="preserve">4 oz, 9 oz</t>
  </si>
  <si>
    <t xml:space="preserve">No</t>
  </si>
  <si>
    <t xml:space="preserve">No (60ct) – 9 oz OK for 90ct</t>
  </si>
  <si>
    <t xml:space="preserve">Live list: 4oz $0.96 · 9oz $0.99 CAD (member price may be lower)</t>
  </si>
  <si>
    <t xml:space="preserve">58-400 black PP $0.50; 70 mm black PP $0.25 (list)</t>
  </si>
  <si>
    <t xml:space="preserve">No surtax risk; local alternative</t>
  </si>
  <si>
    <t xml:space="preserve">Canada (CAD)</t>
  </si>
  <si>
    <t xml:space="preserve">1, 2, 4, 8 oz</t>
  </si>
  <si>
    <t xml:space="preserve">No (60ct)</t>
  </si>
  <si>
    <t xml:space="preserve">Live: 4oz $1.67 (phenolic) / $1.60 (metal cap) · 8oz $2.35 / $2.20, 3+ cases</t>
  </si>
  <si>
    <t xml:space="preserve">Cap included; phenolic &amp; metal caps can't be induction sealed</t>
  </si>
  <si>
    <t xml:space="preserve">Fast Canadian fallback for the 90ct 8 oz</t>
  </si>
  <si>
    <t xml:space="preserve">SKS Bottle &amp; Packaging</t>
  </si>
  <si>
    <t xml:space="preserve">NY, USA (USD); FREE UPS Ground to Ontario on US$500+</t>
  </si>
  <si>
    <t xml:space="preserve">4, 8 oz (70/400); no 6 oz</t>
  </si>
  <si>
    <t xml:space="preserve">No (60ct) – 8 oz for 90ct</t>
  </si>
  <si>
    <t xml:space="preserve">Live: 8oz $0.88 (case 36) · 4oz $1.07</t>
  </si>
  <si>
    <t xml:space="preserve">70/400 black w/ foam induction liner $159.60/760; PS22 $167.20/760</t>
  </si>
  <si>
    <t xml:space="preserve">Cheapest landed 8 oz for the 90ct</t>
  </si>
  <si>
    <t xml:space="preserve">WA, USA (USD)</t>
  </si>
  <si>
    <t xml:space="preserve">4, 9 oz</t>
  </si>
  <si>
    <t xml:space="preserve">4oz $0.80 at 1K–5K incl. lid; 9oz $1.06</t>
  </si>
  <si>
    <t xml:space="preserve">Lid included</t>
  </si>
  <si>
    <t xml:space="preserve">Not shortlisted</t>
  </si>
  <si>
    <t xml:space="preserve">https://www.specialtybottle.com/glass-jars/amber-straight-sided/4oz-salv4a</t>
  </si>
  <si>
    <t xml:space="preserve">The Bottle Depot</t>
  </si>
  <si>
    <t xml:space="preserve">Aventura FL, USA (USD)</t>
  </si>
  <si>
    <t xml:space="preserve">4 (58-400), 6 (54-410), 8 (71-410)</t>
  </si>
  <si>
    <t xml:space="preserve">Yes (odd neck)</t>
  </si>
  <si>
    <t xml:space="preserve">Partly – non-standard necks</t>
  </si>
  <si>
    <t xml:space="preserve">Live: 4oz $0.624 · 6oz $0.764 · 8oz $1.097</t>
  </si>
  <si>
    <t xml:space="preserve">Black PP PE-lined $0.30–0.55</t>
  </si>
  <si>
    <t xml:space="preserve">https://thebottledepot.co/collections/amber-glass-jars</t>
  </si>
  <si>
    <t xml:space="preserve">Berlin Packaging</t>
  </si>
  <si>
    <t xml:space="preserve">USA; Canada via United Bottles (QC)</t>
  </si>
  <si>
    <t xml:space="preserve">~$0.55 (4 oz), some out of stock</t>
  </si>
  <si>
    <t xml:space="preserve">Separate</t>
  </si>
  <si>
    <t xml:space="preserve">https://www.berlinpackaging.com/5001b55-b-4-oz-amber-glass-straight-sided-squat-jars-cap-not-included/</t>
  </si>
  <si>
    <t xml:space="preserve">O.Berk</t>
  </si>
  <si>
    <t xml:space="preserve">USA</t>
  </si>
  <si>
    <t xml:space="preserve">2, 4, 8, 16, 32 oz</t>
  </si>
  <si>
    <t xml:space="preserve">Quote required</t>
  </si>
  <si>
    <t xml:space="preserve">https://www.oberk.com/product-spotlight/amber-straight-side-jars</t>
  </si>
  <si>
    <t xml:space="preserve">Qorpak</t>
  </si>
  <si>
    <t xml:space="preserve">4, 8 oz (lab grade)</t>
  </si>
  <si>
    <t xml:space="preserve">4oz $1.54 jar only</t>
  </si>
  <si>
    <t xml:space="preserve">https://shop.qorpak.com/products/260300/4-oz-amber-gl-ty-iii-straight-sided-jars-58-400-24-cs-260300/</t>
  </si>
  <si>
    <t xml:space="preserve">BC, Canada (CAD)</t>
  </si>
  <si>
    <t xml:space="preserve">'Straight sided' listings are PET plastic; glass 4 &amp; 8 oz (shape unclear)</t>
  </si>
  <si>
    <t xml:space="preserve">Live glass: 4oz $1.77 · 8oz $1.95 single units</t>
  </si>
  <si>
    <t xml:space="preserve">8 oz with ribbed cap $2.49</t>
  </si>
  <si>
    <t xml:space="preserve">Not shortlisted – no bulk pricing</t>
  </si>
  <si>
    <t xml:space="preserve">USA (USD); 4 oz MADE IN USA (surtax)</t>
  </si>
  <si>
    <t xml:space="preserve">4 (58-405), 8 oz (70-405, 272 ml overflow)</t>
  </si>
  <si>
    <t xml:space="preserve">Live: 8oz $0.46 · 4oz $0.64</t>
  </si>
  <si>
    <t xml:space="preserve">70-400 black ribbed F217 $0.21 (Made in USA)</t>
  </si>
  <si>
    <t xml:space="preserve">8 oz option for the 90ct (freight extra)</t>
  </si>
  <si>
    <t xml:space="preserve">VANJOIN Group</t>
  </si>
  <si>
    <t xml:space="preserve">China (USD)</t>
  </si>
  <si>
    <t xml:space="preserve">120/150/180/250 ml supplement jars (probably packer-style – verify)</t>
  </si>
  <si>
    <t xml:space="preserve">Yes (180 ml)</t>
  </si>
  <si>
    <t xml:space="preserve">Verify shape</t>
  </si>
  <si>
    <t xml:space="preserve">US$0.35 at 5K+; MOQ ~5,000</t>
  </si>
  <si>
    <t xml:space="preserve">Screw cap</t>
  </si>
  <si>
    <t xml:space="preserve">RFQ candidate</t>
  </si>
  <si>
    <t xml:space="preserve">https://www.alibaba.com/product-detail/120ml-150ml-180ml-250ml-Health-Dietary_1601702419322.html</t>
  </si>
  <si>
    <t xml:space="preserve">China direct – Xuzhou Das Packing (frosted)</t>
  </si>
  <si>
    <t xml:space="preserve">Frosted amber 2/4/8 oz (60/120/250 g)</t>
  </si>
  <si>
    <t xml:space="preserve">No (RFQ for 180–190 ml)</t>
  </si>
  <si>
    <t xml:space="preserve">Via RFQ</t>
  </si>
  <si>
    <t xml:space="preserve">US$0.41 at 2,000–29,999 (MOQ 2,000)</t>
  </si>
  <si>
    <t xml:space="preserve">'With lids' – specify black PP + glass-rated liner</t>
  </si>
  <si>
    <t xml:space="preserve">TOP 3 – #1 / split plan</t>
  </si>
  <si>
    <t xml:space="preserve">Burch + Canadian spray-frost decorator (Stanpac Ink)</t>
  </si>
  <si>
    <t xml:space="preserve">US jars → Ontario decorator</t>
  </si>
  <si>
    <t xml:space="preserve">4 / 6 / 9 oz</t>
  </si>
  <si>
    <t xml:space="preserve">Jar as Regular #1 + est. CAD 0.30–0.60 frost</t>
  </si>
  <si>
    <t xml:space="preserve">As Regular #1</t>
  </si>
  <si>
    <t xml:space="preserve">Fillmore + Canadian spray-frost decorator</t>
  </si>
  <si>
    <t xml:space="preserve">Jar as Regular #2 + est. frost</t>
  </si>
  <si>
    <t xml:space="preserve">As Regular #2</t>
  </si>
  <si>
    <t xml:space="preserve">TOP 3 – #3</t>
  </si>
  <si>
    <t xml:space="preserve">https://www.fillmorecontainer.com/faqs/</t>
  </si>
  <si>
    <t xml:space="preserve">FL, USA (USD)</t>
  </si>
  <si>
    <t xml:space="preserve">9 oz frosted amber (GJ908-H2) only; GJ402-F is PLAIN amber</t>
  </si>
  <si>
    <t xml:space="preserve">9oz frosted $1.57 – OUT OF STOCK</t>
  </si>
  <si>
    <t xml:space="preserve">PS22 70-400 $0.31</t>
  </si>
  <si>
    <t xml:space="preserve">FAILS – out of stock, no 4/6/8 oz frosted amber</t>
  </si>
  <si>
    <t xml:space="preserve">Jiangxi Forever Packaging</t>
  </si>
  <si>
    <t xml:space="preserve">Frosted amber 4/7/8 oz (shape 'round' – verify)</t>
  </si>
  <si>
    <t xml:space="preserve">7 oz (too big for 60ct)</t>
  </si>
  <si>
    <t xml:space="preserve">Verify</t>
  </si>
  <si>
    <t xml:space="preserve">US$0.09–1.09</t>
  </si>
  <si>
    <t xml:space="preserve">Secondary RFQ</t>
  </si>
  <si>
    <t xml:space="preserve">https://jx-forever.en.made-in-china.com/product/kxBpcQfVviWg/China-Wholesale-4oz-7oz-8oz-Luxury-Clear-Amber-Frosted-Glass-Cosmetic-Jar.html</t>
  </si>
  <si>
    <t xml:space="preserve">Berlin Packaging / O.Berk – custom acid-etch or spray program</t>
  </si>
  <si>
    <t xml:space="preserve">USA; Berlin invoices CAD via United Bottles</t>
  </si>
  <si>
    <t xml:space="preserve">Any stock jar, decorated</t>
  </si>
  <si>
    <t xml:space="preserve">Quote required (est. CAD 1.80–2.75+)</t>
  </si>
  <si>
    <t xml:space="preserve">Turnkey alternative – quote</t>
  </si>
  <si>
    <t xml:space="preserve">https://www.berlinpackaging.com/custom-decorating-services</t>
  </si>
  <si>
    <t xml:space="preserve">Frosted amber only up to 4 oz</t>
  </si>
  <si>
    <t xml:space="preserve">No (plain only)</t>
  </si>
  <si>
    <t xml:space="preserve">Live: 4oz frosted $77.14/90 (case sold out); 24-pk $22.26</t>
  </si>
  <si>
    <t xml:space="preserve">$0.36 PE liner</t>
  </si>
  <si>
    <t xml:space="preserve">FAILS – frosted only up to 4 oz</t>
  </si>
  <si>
    <t xml:space="preserve">NY, USA</t>
  </si>
  <si>
    <t xml:space="preserve">Frosted 2/4/8 oz – CLEAR, not amber</t>
  </si>
  <si>
    <t xml:space="preserve">4oz $1.41–2.79 · 8oz $2.30</t>
  </si>
  <si>
    <t xml:space="preserve">Induction caps available</t>
  </si>
  <si>
    <t xml:space="preserve">FAILS – not amber</t>
  </si>
  <si>
    <t xml:space="preserve">https://www.sks-bottle.com/product/10768.html</t>
  </si>
  <si>
    <t xml:space="preserve">Uline, Richards, Containers &amp; Pkg, Specialty Bottle, TricorBraun</t>
  </si>
  <si>
    <t xml:space="preserve">Plain amber only</t>
  </si>
  <si>
    <t xml:space="preserve">FAILS – no frosted amber</t>
  </si>
  <si>
    <t xml:space="preserve">Next steps before ordering</t>
  </si>
  <si>
    <t xml:space="preserve">#</t>
  </si>
  <si>
    <t xml:space="preserve">Who</t>
  </si>
  <si>
    <t xml:space="preserve">Action</t>
  </si>
  <si>
    <t xml:space="preserve">Owner (manufacturer)</t>
  </si>
  <si>
    <t xml:space="preserve">Confirm with your manufacturer: (a) Will they fill jars you supply? (b) Can their line handle straight-sided jars (4 / 6 / 8 oz)? (c) How do they tamper-seal glass today: induction, PS liner or shrink band? Then get their bottle + lid cost into Inputs.</t>
  </si>
  <si>
    <t xml:space="preserve">Procurement</t>
  </si>
  <si>
    <t xml:space="preserve">90ct: request a quote from SKS for 500 × 8 oz amber (40530080.03S) + 760 × 70/400 induction-lined caps (2101-79B), free UPS to Ontario. Ask for COUNTRY OF ORIGIN of the jar (US-made = 50% surtax on the jar). Fallback: Uline S-24533/S-25207 (Canadian stock).</t>
  </si>
  <si>
    <t xml:space="preserve">China RFQ to Qingdao Giant, Xuzhou Selead, Xuzhou Das, Chongqing Sincereal and VANJOIN: 2,000 × 120 ml + 500 × 180 ml from stock, matching style, regular AND frosted. Require 58-400 / 63-400 necks, black PP caps with induction or PS22 liners, brim-full capacity, drawings, FOB price, sample cost, lead time, carton data. Pay via Trade Assurance / secured trading.</t>
  </si>
  <si>
    <t xml:space="preserve">LCL door-to-door quotes from 2–3 Canadian forwarders (1.0–1.3 m³, 350–450 kg glass, to your Ontario postal code), itemized with minimums, plus one DDP-per-m³ quote.</t>
  </si>
  <si>
    <t xml:space="preserve">5</t>
  </si>
  <si>
    <t xml:space="preserve">Local fallback quotes for Balance + 60ct: Burch (4 oz + 6 oz, one shipment, freight to your postal code, country of origin) and Richards member pricing (4 oz + caps). Order CPS free samples (G850AM 4 oz, G506AM 6 oz).</t>
  </si>
  <si>
    <t xml:space="preserve">6</t>
  </si>
  <si>
    <t xml:space="preserve">Owner + broker</t>
  </si>
  <si>
    <t xml:space="preserve">Ask a customs broker: (a) tariff suffix 7010.90.00.95 vs .96; (b) whether the US Surtax Remission Order covers US-made jars used to package supplements.</t>
  </si>
  <si>
    <t xml:space="preserve">7</t>
  </si>
  <si>
    <t xml:space="preserve">Owner + designer</t>
  </si>
  <si>
    <t xml:space="preserve">Decide bottle STYLE first (packer vs straight-sided – see the Packer vs Straight-Sided tab), then finish (regular vs frosted). Samples in hand: pour test – packers: 60 capsules in a 150cc, 90 in a 250cc; jars: 60 in a 6 oz, 90 in an 8 oz.</t>
  </si>
  <si>
    <t xml:space="preserve">8</t>
  </si>
  <si>
    <t xml:space="preserve">Owner</t>
  </si>
  <si>
    <t xml:space="preserve">If frosted: Stanpac quote for spray-frosting 500 × 8 oz (and which plant does it – Ontario or Wisconsin).</t>
  </si>
  <si>
    <t xml:space="preserve">Data caveats</t>
  </si>
  <si>
    <t xml:space="preserve">• North American prices were checked live on supplier websites on Oct 9, 2026. Alibaba blocked automated access, so some China data is from search snippets; made-in-china.com listings were checked live. Confirm everything by written quote.</t>
  </si>
  <si>
    <t xml:space="preserve">• Freight, brokerage, frosting and China prices are estimates (labelled on the Inputs sheet). Replace them with real quotes and the whole workbook recalculates.</t>
  </si>
  <si>
    <t xml:space="preserve">• The 50% surtax on US-made glass jars is CONFIRMED (SOR/2026-186, Schedule 3, tariff item 7010.90.00). Whether a remission/refund applies to supplement packaging needs a broker's opinion.</t>
  </si>
  <si>
    <t xml:space="preserve">• Jar volumes are nominal. Capsule fit and 'looks half full' are modelled (see Capsule Sizing) and must be confirmed with a fill test.</t>
  </si>
</sst>
</file>

<file path=xl/styles.xml><?xml version="1.0" encoding="utf-8"?>
<styleSheet xmlns="http://schemas.openxmlformats.org/spreadsheetml/2006/main">
  <numFmts count="10">
    <numFmt numFmtId="164" formatCode="General"/>
    <numFmt numFmtId="165" formatCode="0.000"/>
    <numFmt numFmtId="166" formatCode="\$#,##0.00;&quot;($&quot;#,##0.00\);\-"/>
    <numFmt numFmtId="167" formatCode="0"/>
    <numFmt numFmtId="168" formatCode="0%"/>
    <numFmt numFmtId="169" formatCode="\$#,##0;&quot;($&quot;#,##0\);\-"/>
    <numFmt numFmtId="170" formatCode="#,##0"/>
    <numFmt numFmtId="171" formatCode="0.0"/>
    <numFmt numFmtId="172" formatCode="0.00"/>
    <numFmt numFmtId="173"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5A3E1B"/>
      <name val="Arial"/>
      <family val="0"/>
      <charset val="1"/>
    </font>
    <font>
      <i val="true"/>
      <sz val="9"/>
      <color rgb="FF666666"/>
      <name val="Arial"/>
      <family val="0"/>
      <charset val="1"/>
    </font>
    <font>
      <b val="true"/>
      <sz val="10"/>
      <color rgb="FFC0000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u val="single"/>
      <sz val="10"/>
      <color rgb="FF0563C1"/>
      <name val="Arial"/>
      <family val="0"/>
      <charset val="1"/>
    </font>
    <font>
      <sz val="10"/>
      <name val="Arial"/>
      <family val="2"/>
    </font>
  </fonts>
  <fills count="9">
    <fill>
      <patternFill patternType="none"/>
    </fill>
    <fill>
      <patternFill patternType="gray125"/>
    </fill>
    <fill>
      <patternFill patternType="solid">
        <fgColor rgb="FFFCE4D6"/>
        <bgColor rgb="FFF3E5D3"/>
      </patternFill>
    </fill>
    <fill>
      <patternFill patternType="solid">
        <fgColor rgb="FF7A4E1D"/>
        <bgColor rgb="FF5A3E1B"/>
      </patternFill>
    </fill>
    <fill>
      <patternFill patternType="solid">
        <fgColor rgb="FFA86B2D"/>
        <bgColor rgb="FF7A4E1D"/>
      </patternFill>
    </fill>
    <fill>
      <patternFill patternType="solid">
        <fgColor rgb="FFFFF2CC"/>
        <bgColor rgb="FFFCE4D6"/>
      </patternFill>
    </fill>
    <fill>
      <patternFill patternType="solid">
        <fgColor rgb="FFF3E5D3"/>
        <bgColor rgb="FFFCE4D6"/>
      </patternFill>
    </fill>
    <fill>
      <patternFill patternType="solid">
        <fgColor rgb="FFE2EFDA"/>
        <bgColor rgb="FFF3E5D3"/>
      </patternFill>
    </fill>
    <fill>
      <patternFill patternType="solid">
        <fgColor rgb="FFFFE699"/>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5"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6" fontId="8" fillId="6" borderId="1" xfId="0" applyFont="true" applyBorder="true" applyAlignment="true" applyProtection="false">
      <alignment horizontal="general" vertical="top" textRotation="0" wrapText="true" indent="0" shrinkToFit="false"/>
      <protection locked="true" hidden="false"/>
    </xf>
    <xf numFmtId="167" fontId="11" fillId="5"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7"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9" fontId="8" fillId="7" borderId="1" xfId="0" applyFont="true" applyBorder="true" applyAlignment="false" applyProtection="false">
      <alignment horizontal="general" vertical="bottom" textRotation="0" wrapText="false" indent="0" shrinkToFit="false"/>
      <protection locked="true" hidden="false"/>
    </xf>
    <xf numFmtId="169" fontId="9" fillId="7" borderId="1" xfId="0" applyFont="true" applyBorder="true" applyAlignment="false" applyProtection="false">
      <alignment horizontal="general" vertical="bottom" textRotation="0" wrapText="false" indent="0" shrinkToFit="false"/>
      <protection locked="true" hidden="false"/>
    </xf>
    <xf numFmtId="166" fontId="9" fillId="7" borderId="1"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2" fillId="6"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9" fontId="12" fillId="0" borderId="1" xfId="0" applyFont="true" applyBorder="true" applyAlignment="true" applyProtection="false">
      <alignment horizontal="general" vertical="top" textRotation="0" wrapText="true" indent="0" shrinkToFit="false"/>
      <protection locked="true" hidden="false"/>
    </xf>
    <xf numFmtId="169" fontId="12" fillId="6"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9" fontId="12" fillId="7" borderId="1" xfId="0" applyFont="true" applyBorder="true" applyAlignment="false" applyProtection="false">
      <alignment horizontal="general" vertical="bottom" textRotation="0" wrapText="fals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9" fontId="11" fillId="5" borderId="1" xfId="0" applyFont="true" applyBorder="true" applyAlignment="false" applyProtection="false">
      <alignment horizontal="general" vertical="bottom"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2" fontId="11" fillId="5"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11" fillId="5" borderId="1" xfId="0" applyFont="true" applyBorder="true" applyAlignment="false" applyProtection="false">
      <alignment horizontal="general" vertical="bottom" textRotation="0" wrapText="false" indent="0" shrinkToFit="false"/>
      <protection locked="true" hidden="false"/>
    </xf>
    <xf numFmtId="170" fontId="8" fillId="6"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2EFDA"/>
        </patternFill>
      </fill>
    </dxf>
    <dxf>
      <fill>
        <patternFill>
          <bgColor rgb="FFF8CBAD"/>
        </patternFill>
      </fill>
    </dxf>
    <dxf>
      <fill>
        <patternFill>
          <bgColor rgb="FFFFE6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A86B2D"/>
      <rgbColor rgb="FF800080"/>
      <rgbColor rgb="FF008080"/>
      <rgbColor rgb="FFBFBFBF"/>
      <rgbColor rgb="FF808080"/>
      <rgbColor rgb="FF9999FF"/>
      <rgbColor rgb="FF993366"/>
      <rgbColor rgb="FFFFF2CC"/>
      <rgbColor rgb="FFFCE4D6"/>
      <rgbColor rgb="FF660066"/>
      <rgbColor rgb="FFFF8080"/>
      <rgbColor rgb="FF0563C1"/>
      <rgbColor rgb="FFF3E5D3"/>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7A4E1D"/>
      <rgbColor rgb="FF993366"/>
      <rgbColor rgb="FF333399"/>
      <rgbColor rgb="FF5A3E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tricorbraun.com/120-cc-amber-glass-round-packer-bottle-38-400-neck-finish.html" TargetMode="External"/><Relationship Id="rId2" Type="http://schemas.openxmlformats.org/officeDocument/2006/relationships/hyperlink" Target="https://www.tricorbraun.com/150-cc-amber-glass-round-packer-bottle-45-400-neck-finish-319904.html" TargetMode="External"/><Relationship Id="rId3" Type="http://schemas.openxmlformats.org/officeDocument/2006/relationships/hyperlink" Target="https://www.tricorbraun.com/200-cc-amber-glass-round-packer-bottle-45-400-neck-finish-319906.html" TargetMode="External"/><Relationship Id="rId4" Type="http://schemas.openxmlformats.org/officeDocument/2006/relationships/hyperlink" Target="https://www.tricorbraun.com/250-cc-amber-glass-round-packer-bottle-45-400-neck-finish.html" TargetMode="External"/><Relationship Id="rId5" Type="http://schemas.openxmlformats.org/officeDocument/2006/relationships/hyperlink" Target="https://www.tricorbraun.com/38-400-black-pp-plastic-continuous-thread-closure-f-217-liner.html" TargetMode="External"/><Relationship Id="rId6" Type="http://schemas.openxmlformats.org/officeDocument/2006/relationships/hyperlink" Target="https://www.tricorbraun.com/45-400-black-pp-plastic-continuous-thread-lined-closure-hs-035-liner.html" TargetMode="External"/><Relationship Id="rId7" Type="http://schemas.openxmlformats.org/officeDocument/2006/relationships/hyperlink" Target="https://www.containerandpackaging.com/products/glass-packer-bottle/g18118am/" TargetMode="External"/><Relationship Id="rId8" Type="http://schemas.openxmlformats.org/officeDocument/2006/relationships/hyperlink" Target="https://www.containerandpackaging.com/products/glass-packer-bottle/g18117am/" TargetMode="External"/><Relationship Id="rId9" Type="http://schemas.openxmlformats.org/officeDocument/2006/relationships/hyperlink" Target="https://www.containerandpackaging.com/products/glass-packer-bottle/g18119am/" TargetMode="External"/><Relationship Id="rId10" Type="http://schemas.openxmlformats.org/officeDocument/2006/relationships/hyperlink" Target="https://www.sks-bottle.com/340c/fin7552.html" TargetMode="External"/><Relationship Id="rId11" Type="http://schemas.openxmlformats.org/officeDocument/2006/relationships/hyperlink" Target="https://www.bottlestore.com/120cc-amber-wide-mouth-packer-round-glass-bottle-38-405-neck.html" TargetMode="External"/><Relationship Id="rId12" Type="http://schemas.openxmlformats.org/officeDocument/2006/relationships/hyperlink" Target="https://www.bottlestore.com/150cc-amber-glass-wide-mouth-round-packer-bottle-round-45-400-neck.html" TargetMode="External"/><Relationship Id="rId13" Type="http://schemas.openxmlformats.org/officeDocument/2006/relationships/hyperlink" Target="https://www.bottlestore.com/250cc-amber-wide-mouth-round-glass-bottle-45-400.html" TargetMode="External"/><Relationship Id="rId14" Type="http://schemas.openxmlformats.org/officeDocument/2006/relationships/hyperlink" Target="https://www.specialtybottle.com/glass-bottles/pharma-vitamins/120cc-gpa120b" TargetMode="External"/><Relationship Id="rId15" Type="http://schemas.openxmlformats.org/officeDocument/2006/relationships/hyperlink" Target="https://www.specialtybottle.com/glass-bottles/pharma-vitamins/250cc-gpa250b" TargetMode="External"/><Relationship Id="rId16" Type="http://schemas.openxmlformats.org/officeDocument/2006/relationships/hyperlink" Target="https://www.uline.ca/BL_755/Amber-Wide-Mouth-Glass-Jars" TargetMode="External"/><Relationship Id="rId17" Type="http://schemas.openxmlformats.org/officeDocument/2006/relationships/hyperlink" Target="https://snailglass.en.made-in-china.com/product/jTORWMIxHtYo/China-Wide-Mouth-Medicine-Tablets-Supplement-Bottles-Amber-120cc-150cc-200cc-250cc-300cc-500cc-Round-Glass-Pill-Capsule-Bottle.html" TargetMode="External"/><Relationship Id="rId18" Type="http://schemas.openxmlformats.org/officeDocument/2006/relationships/hyperlink" Target="https://advantriopackaging.en.made-in-china.com/product/jAmpHKYyCXUB/China-Amber-Glass-Wide-Mouth-Packer-Bottles-Pharmaceutical-Jars-for-Pill-Capsule-Tablet-Medicine.html" TargetMode="External"/><Relationship Id="rId19" Type="http://schemas.openxmlformats.org/officeDocument/2006/relationships/hyperlink" Target="https://nuohuabaozhuang.en.made-in-china.com/product/OTpRyhFDrKYW/China-Wholesale-100ml-120ml-150ml-200ml-250ml-300ml-Amber-Wide-Mouth-Pharmaceutical-Grade-Glass-Bottle-with-Screw-Cap-for-Pills.html" TargetMode="External"/><Relationship Id="rId20" Type="http://schemas.openxmlformats.org/officeDocument/2006/relationships/hyperlink" Target="https://snailglass.en.made-in-china.com/product/iJIRHfKEItpO/China-Wholesale-Amber-Frosted-Empty-Wide-Mouth-Glass-Bottle-Medicine-Pill-Bottles.html" TargetMode="External"/><Relationship Id="rId21" Type="http://schemas.openxmlformats.org/officeDocument/2006/relationships/hyperlink" Target="https://snailglass.en.made-in-china.com/product/MxEYkSFGJRrb/China-100ml-120ml-150ml-250ml-Frosted-Glass-Health-Bottle-Capsule-with-Screw-Lid.html" TargetMode="External"/><Relationship Id="rId22" Type="http://schemas.openxmlformats.org/officeDocument/2006/relationships/hyperlink" Target="https://advantriopackaging.en.made-in-china.com/product/RtXYDOaMZBUC/China-Wholesale-Empty-Wide-Mouth-Amber-Frosted-Glass-Jar-Pill-Capsule-Bottle-120ml.html" TargetMode="External"/><Relationship Id="rId23" Type="http://schemas.openxmlformats.org/officeDocument/2006/relationships/hyperlink" Target="https://advantriopackaging.en.made-in-china.com/product/uASYIkaDhBRw/China-Luxury-Custom-Wide-Mouth-200ml-Frosted-Glass-Pill-Bottle-Jar-with-Lid.html" TargetMode="External"/><Relationship Id="rId24" Type="http://schemas.openxmlformats.org/officeDocument/2006/relationships/hyperlink" Target="https://www.burchbottle.com/4oz-Amber-Straight-Sided-Jar-58-400" TargetMode="External"/><Relationship Id="rId25" Type="http://schemas.openxmlformats.org/officeDocument/2006/relationships/hyperlink" Target="https://www.burchbottle.com/6oz-Amber-Straight-Sided-Jar-63-400" TargetMode="External"/><Relationship Id="rId26" Type="http://schemas.openxmlformats.org/officeDocument/2006/relationships/hyperlink" Target="https://www.burchbottle.com/9oz-Amber-Straight-Sided-Jar-70-400" TargetMode="External"/><Relationship Id="rId27" Type="http://schemas.openxmlformats.org/officeDocument/2006/relationships/hyperlink" Target="https://www.burchbottle.com/70-400-Black-Polypropylene-RM-Ps22-Print-F217-Lined-Cap" TargetMode="External"/><Relationship Id="rId28" Type="http://schemas.openxmlformats.org/officeDocument/2006/relationships/hyperlink" Target="https://www.fillmorecontainer.com/r04-30c-case24ct-1-12oz.html" TargetMode="External"/><Relationship Id="rId29" Type="http://schemas.openxmlformats.org/officeDocument/2006/relationships/hyperlink" Target="https://www.fillmorecontainer.com/6-oz-amber-straight-sided-jar-case-of-12.html" TargetMode="External"/><Relationship Id="rId30" Type="http://schemas.openxmlformats.org/officeDocument/2006/relationships/hyperlink" Target="https://www.fillmorecontainer.com/9-oz-amber-straight-sided-jar.html" TargetMode="External"/><Relationship Id="rId31" Type="http://schemas.openxmlformats.org/officeDocument/2006/relationships/hyperlink" Target="https://www.containerandpackaging.com/products/glass-straight-sided-jar/g850am/" TargetMode="External"/><Relationship Id="rId32" Type="http://schemas.openxmlformats.org/officeDocument/2006/relationships/hyperlink" Target="https://www.containerandpackaging.com/products/glass-straight-sided-jar/G506AM/" TargetMode="External"/><Relationship Id="rId33" Type="http://schemas.openxmlformats.org/officeDocument/2006/relationships/hyperlink" Target="https://www.sks-bottle.com/product/305037.html" TargetMode="External"/><Relationship Id="rId34" Type="http://schemas.openxmlformats.org/officeDocument/2006/relationships/hyperlink" Target="https://www.sks-bottle.com/product/10710.html" TargetMode="External"/><Relationship Id="rId35" Type="http://schemas.openxmlformats.org/officeDocument/2006/relationships/hyperlink" Target="https://www.sks-bottle.com/info/free_shipping.html" TargetMode="External"/><Relationship Id="rId36" Type="http://schemas.openxmlformats.org/officeDocument/2006/relationships/hyperlink" Target="https://www.bottlestore.com/8oz-amber-glass-straight-sided-jar-70-405-neck-finish-24-pack.html" TargetMode="External"/><Relationship Id="rId37" Type="http://schemas.openxmlformats.org/officeDocument/2006/relationships/hyperlink" Target="https://www.uline.ca/Product/Detail/S-24532" TargetMode="External"/><Relationship Id="rId38" Type="http://schemas.openxmlformats.org/officeDocument/2006/relationships/hyperlink" Target="https://www.uline.ca/Product/Detail/S-24533" TargetMode="External"/><Relationship Id="rId39" Type="http://schemas.openxmlformats.org/officeDocument/2006/relationships/hyperlink" Target="https://www.uline.ca/Product/Detail/S-25207" TargetMode="External"/><Relationship Id="rId40" Type="http://schemas.openxmlformats.org/officeDocument/2006/relationships/hyperlink" Target="https://www.richardspackaging.com/products/4-oz-amber-glass-round-straight-sided-jar-58-400-24-rp-1159a" TargetMode="External"/><Relationship Id="rId41" Type="http://schemas.openxmlformats.org/officeDocument/2006/relationships/hyperlink" Target="https://www.richardspackaging.com/products/9-oz-amber-glass-straight-sided-jar-70-400-12-rp-1001a" TargetMode="External"/><Relationship Id="rId42" Type="http://schemas.openxmlformats.org/officeDocument/2006/relationships/hyperlink" Target="https://www.voyageursoapandcandle.com/products/8-oz-amber-glass-jar-with-70-400-neck-1" TargetMode="External"/><Relationship Id="rId43" Type="http://schemas.openxmlformats.org/officeDocument/2006/relationships/hyperlink" Target="https://daspacking.en.made-in-china.com/product/kZwtFPjdwJWz/China-Wholesale-4oz-8oz-Clear-Amber-Straight-Sided-Empty-Luxury-Glass-Candle-Jar-in-Bulk-with-Lids-for-Candle-Packaging.html" TargetMode="External"/><Relationship Id="rId44" Type="http://schemas.openxmlformats.org/officeDocument/2006/relationships/hyperlink" Target="https://sincerealpack.en.made-in-china.com/product/SnGRkCBVJTYp/China-30ml-180ml-250ml-4oz-8-Oz-Small-Round-Amber-Glass-Candle-Jar-with-Gold-Black-Metal-Lid.html" TargetMode="External"/><Relationship Id="rId45" Type="http://schemas.openxmlformats.org/officeDocument/2006/relationships/hyperlink" Target="https://giantpkg.en.made-in-china.com/product/ywitSfBDbAaL/China-15ml-30ml-60ml-90ml-120ml-150ml-180ml-240ml-300ml-Amber-Glass-Jar-Candle-Jar-with-Screw-Cap.html" TargetMode="External"/><Relationship Id="rId46" Type="http://schemas.openxmlformats.org/officeDocument/2006/relationships/hyperlink" Target="https://xzselead.en.made-in-china.com/product/GamrQSoWqUcX/China-2oz-4oz-6oz-8oz-Amber-Glass-Jar-Straight-Sided-Glass-Candle-Jar-with-Metal-Lid-Clear-Amber-Glass-Storage-Jar-Candle-Holder.html" TargetMode="External"/><Relationship Id="rId47" Type="http://schemas.openxmlformats.org/officeDocument/2006/relationships/hyperlink" Target="https://daspacking.en.made-in-china.com/product/CdRGEuVYJmpN/China-Wholesale-2oz-4oz-8oz-60g-120g-250g-Frosted-Clear-Amber-Airtight-Straight-Sided-Round-Face-Cosmetic-Cream-Candle-Glass-Jar-and-Container-with-Lids.html" TargetMode="External"/><Relationship Id="rId48" Type="http://schemas.openxmlformats.org/officeDocument/2006/relationships/hyperlink" Target="https://thebottledepot.co/products/4-oz-amber-frosted-glass-straight-sided-round-jar-58-400-neck-finish" TargetMode="External"/><Relationship Id="rId49" Type="http://schemas.openxmlformats.org/officeDocument/2006/relationships/hyperlink" Target="https://www.liquidbottles.com/products/4738/9oz-Frosted-Amber-Glass-Jar-70-400-Neck-Finish-72cs" TargetMode="External"/><Relationship Id="rId50" Type="http://schemas.openxmlformats.org/officeDocument/2006/relationships/hyperlink" Target="https://www.stanpacnet.com/glass-container-printing/" TargetMode="External"/><Relationship Id="rId51" Type="http://schemas.openxmlformats.org/officeDocument/2006/relationships/hyperlink" Target="https://www.uline.ca/BL_2410/Clear-Shrink-Bands" TargetMode="External"/><Relationship Id="rId52" Type="http://schemas.openxmlformats.org/officeDocument/2006/relationships/hyperlink" Target="https://www.sks-bottle.com/340c/fin6484.html" TargetMode="External"/><Relationship Id="rId53" Type="http://schemas.openxmlformats.org/officeDocument/2006/relationships/hyperlink" Target="https://www.cbsa-asfc.gc.ca/trade-commerce/tariff-tarif/2026/01-99/ch70-2026-eng.pdf" TargetMode="External"/><Relationship Id="rId54" Type="http://schemas.openxmlformats.org/officeDocument/2006/relationships/hyperlink" Target="https://gazette.gc.ca/rp-pr/p2/2026/2026-09-23/html/sor-dors186-eng.html" TargetMode="External"/><Relationship Id="rId55" Type="http://schemas.openxmlformats.org/officeDocument/2006/relationships/hyperlink" Target="https://www.cbsa-asfc.gc.ca/publications/cn-ad/cn26-23-eng.html" TargetMode="External"/><Relationship Id="rId56" Type="http://schemas.openxmlformats.org/officeDocument/2006/relationships/hyperlink" Target="https://laws-lois.justice.gc.ca/eng/regulations/SOR-2025-122/FullText.html" TargetMode="External"/><Relationship Id="rId57" Type="http://schemas.openxmlformats.org/officeDocument/2006/relationships/hyperlink" Target="https://www.sino-shipping.com/country-guides/shipping-from-china-to-canada/" TargetMode="External"/><Relationship Id="rId58" Type="http://schemas.openxmlformats.org/officeDocument/2006/relationships/hyperlink" Target="https://ddpchain.com/canada/" TargetMode="External"/><Relationship Id="rId59" Type="http://schemas.openxmlformats.org/officeDocument/2006/relationships/hyperlink" Target="https://clearit.ca/l/customs-broker" TargetMode="External"/><Relationship Id="rId60" Type="http://schemas.openxmlformats.org/officeDocument/2006/relationships/hyperlink" Target="https://wearewarp.com/research/ltl-rate-benchmarks"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hyperlink" Target="https://www.burchbottle.com/6oz-Amber-Straight-Sided-Jar-63-400" TargetMode="External"/><Relationship Id="rId2" Type="http://schemas.openxmlformats.org/officeDocument/2006/relationships/hyperlink" Target="https://www.fillmorecontainer.com/6-oz-amber-straight-sided-jar-case-of-12.html" TargetMode="External"/><Relationship Id="rId3" Type="http://schemas.openxmlformats.org/officeDocument/2006/relationships/hyperlink" Target="https://daspacking.en.made-in-china.com/product/CdRGEuVYJmpN/China-Wholesale-2oz-4oz-8oz-60g-120g-250g-Frosted-Clear-Amber-Airtight-Straight-Sided-Round-Face-Cosmetic-Cream-Candle-Glass-Jar-and-Container-with-Lids.html" TargetMode="External"/><Relationship Id="rId4" Type="http://schemas.openxmlformats.org/officeDocument/2006/relationships/hyperlink" Target="https://www.containerandpackaging.com/products/glass-straight-sided-jar/g850am/" TargetMode="External"/><Relationship Id="rId5" Type="http://schemas.openxmlformats.org/officeDocument/2006/relationships/hyperlink" Target="https://www.richardspackaging.com/products/9-oz-amber-glass-straight-sided-jar-70-400-12-rp-1001a" TargetMode="External"/><Relationship Id="rId6" Type="http://schemas.openxmlformats.org/officeDocument/2006/relationships/hyperlink" Target="https://www.uline.ca/Product/Detail/S-24533" TargetMode="External"/><Relationship Id="rId7" Type="http://schemas.openxmlformats.org/officeDocument/2006/relationships/hyperlink" Target="https://www.sks-bottle.com/product/305037.html" TargetMode="External"/><Relationship Id="rId8" Type="http://schemas.openxmlformats.org/officeDocument/2006/relationships/hyperlink" Target="https://www.specialtybottle.com/glass-jars/amber-straight-sided/4oz-salv4a" TargetMode="External"/><Relationship Id="rId9" Type="http://schemas.openxmlformats.org/officeDocument/2006/relationships/hyperlink" Target="https://thebottledepot.co/collections/amber-glass-jars" TargetMode="External"/><Relationship Id="rId10" Type="http://schemas.openxmlformats.org/officeDocument/2006/relationships/hyperlink" Target="https://www.berlinpackaging.com/5001b55-b-4-oz-amber-glass-straight-sided-squat-jars-cap-not-included/" TargetMode="External"/><Relationship Id="rId11" Type="http://schemas.openxmlformats.org/officeDocument/2006/relationships/hyperlink" Target="https://www.oberk.com/product-spotlight/amber-straight-side-jars" TargetMode="External"/><Relationship Id="rId12" Type="http://schemas.openxmlformats.org/officeDocument/2006/relationships/hyperlink" Target="https://shop.qorpak.com/products/260300/4-oz-amber-gl-ty-iii-straight-sided-jars-58-400-24-cs-260300/" TargetMode="External"/><Relationship Id="rId13" Type="http://schemas.openxmlformats.org/officeDocument/2006/relationships/hyperlink" Target="https://www.voyageursoapandcandle.com/products/8-oz-amber-glass-jar-with-70-400-neck-1" TargetMode="External"/><Relationship Id="rId14" Type="http://schemas.openxmlformats.org/officeDocument/2006/relationships/hyperlink" Target="https://www.bottlestore.com/8oz-amber-glass-straight-sided-jar-70-405-neck-finish-24-pack.html" TargetMode="External"/><Relationship Id="rId15" Type="http://schemas.openxmlformats.org/officeDocument/2006/relationships/hyperlink" Target="https://www.alibaba.com/product-detail/120ml-150ml-180ml-250ml-Health-Dietary_1601702419322.html" TargetMode="External"/><Relationship Id="rId16" Type="http://schemas.openxmlformats.org/officeDocument/2006/relationships/hyperlink" Target="https://daspacking.en.made-in-china.com/product/CdRGEuVYJmpN/China-Wholesale-2oz-4oz-8oz-60g-120g-250g-Frosted-Clear-Amber-Airtight-Straight-Sided-Round-Face-Cosmetic-Cream-Candle-Glass-Jar-and-Container-with-Lids.html" TargetMode="External"/><Relationship Id="rId17" Type="http://schemas.openxmlformats.org/officeDocument/2006/relationships/hyperlink" Target="https://www.stanpacnet.com/glass-container-printing/" TargetMode="External"/><Relationship Id="rId18" Type="http://schemas.openxmlformats.org/officeDocument/2006/relationships/hyperlink" Target="https://www.fillmorecontainer.com/faqs/" TargetMode="External"/><Relationship Id="rId19" Type="http://schemas.openxmlformats.org/officeDocument/2006/relationships/hyperlink" Target="https://www.liquidbottles.com/products/4738/9oz-Frosted-Amber-Glass-Jar-70-400-Neck-Finish-72cs" TargetMode="External"/><Relationship Id="rId20" Type="http://schemas.openxmlformats.org/officeDocument/2006/relationships/hyperlink" Target="https://jx-forever.en.made-in-china.com/product/kxBpcQfVviWg/China-Wholesale-4oz-7oz-8oz-Luxury-Clear-Amber-Frosted-Glass-Cosmetic-Jar.html" TargetMode="External"/><Relationship Id="rId21" Type="http://schemas.openxmlformats.org/officeDocument/2006/relationships/hyperlink" Target="https://www.berlinpackaging.com/custom-decorating-services" TargetMode="External"/><Relationship Id="rId22" Type="http://schemas.openxmlformats.org/officeDocument/2006/relationships/hyperlink" Target="https://thebottledepot.co/products/4-oz-amber-frosted-glass-straight-sided-round-jar-58-400-neck-finish" TargetMode="External"/><Relationship Id="rId23" Type="http://schemas.openxmlformats.org/officeDocument/2006/relationships/hyperlink" Target="https://www.sks-bottle.com/product/10768.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10"/>
    <col collapsed="false" customWidth="true" hidden="false" outlineLevel="0" max="4" min="4" style="0" width="9"/>
    <col collapsed="false" customWidth="true" hidden="false" outlineLevel="0" max="6" min="5" style="0" width="10"/>
    <col collapsed="false" customWidth="true" hidden="false" outlineLevel="0" max="7" min="7" style="0" width="30"/>
    <col collapsed="false" customWidth="true" hidden="false" outlineLevel="0" max="8" min="8" style="0" width="7"/>
    <col collapsed="false" customWidth="true" hidden="false" outlineLevel="0" max="10" min="9" style="0" width="11"/>
    <col collapsed="false" customWidth="true" hidden="false" outlineLevel="0" max="13" min="11" style="0" width="12"/>
    <col collapsed="false" customWidth="true" hidden="false" outlineLevel="0" max="14" min="14" style="0" width="10"/>
    <col collapsed="false" customWidth="true" hidden="false" outlineLevel="0" max="15" min="15" style="0" width="11"/>
    <col collapsed="false" customWidth="true" hidden="false" outlineLevel="0" max="16" min="16" style="0" width="12"/>
    <col collapsed="false" customWidth="true" hidden="false" outlineLevel="0" max="18" min="17" style="0" width="13"/>
  </cols>
  <sheetData>
    <row r="1" customFormat="false" ht="17.35" hidden="false" customHeight="false" outlineLevel="0" collapsed="false">
      <c r="A1" s="1" t="s">
        <v>0</v>
      </c>
    </row>
    <row r="2" customFormat="false" ht="15" hidden="false" customHeight="false" outlineLevel="0" collapsed="false">
      <c r="A2" s="2" t="s">
        <v>1</v>
      </c>
    </row>
    <row r="3" customFormat="false" ht="21.75" hidden="false" customHeight="true" outlineLevel="0" collapsed="false">
      <c r="A3" s="3" t="s">
        <v>2</v>
      </c>
      <c r="B3" s="3"/>
      <c r="C3" s="3"/>
      <c r="D3" s="3"/>
      <c r="E3" s="3"/>
      <c r="F3" s="3"/>
      <c r="G3" s="3"/>
      <c r="H3" s="3"/>
      <c r="I3" s="3"/>
      <c r="J3" s="3"/>
      <c r="K3" s="3"/>
      <c r="L3" s="3"/>
      <c r="M3" s="3"/>
      <c r="N3" s="3"/>
      <c r="O3" s="3"/>
      <c r="P3" s="3"/>
      <c r="Q3" s="3"/>
      <c r="R3" s="3"/>
    </row>
    <row r="5" customFormat="false" ht="15" hidden="false" customHeight="false" outlineLevel="0" collapsed="false">
      <c r="A5" s="4" t="s">
        <v>3</v>
      </c>
      <c r="B5" s="4"/>
      <c r="C5" s="4"/>
      <c r="D5" s="4"/>
      <c r="E5" s="4"/>
      <c r="F5" s="4"/>
      <c r="G5" s="4"/>
      <c r="H5" s="4"/>
      <c r="I5" s="4"/>
      <c r="J5" s="4"/>
      <c r="K5" s="4"/>
      <c r="L5" s="4"/>
      <c r="M5" s="4"/>
      <c r="N5" s="4"/>
      <c r="O5" s="4"/>
      <c r="P5" s="4"/>
      <c r="Q5" s="4"/>
      <c r="R5" s="4"/>
    </row>
    <row r="6" customFormat="false" ht="30" hidden="false" customHeight="true" outlineLevel="0" collapsed="false">
      <c r="A6" s="5" t="s">
        <v>4</v>
      </c>
      <c r="B6" s="6" t="str">
        <f aca="false">"Sticking with your CURRENT packer style is cheaper: ~CAD "&amp;TEXT('Packer vs Straight-Sided'!H51,"#,##0")&amp;" less in regular and ~CAD "&amp;TEXT('Packer vs Straight-Sided'!H53,"#,##0")&amp;" less in frosted (see the Packer vs Straight-Sided tab). Packer sizes: Balance 120cc · 60ct 150cc · 90ct 250cc. The rest of this tab covers the straight-sided route if you prefer that look."</f>
        <v>Sticking with your CURRENT packer style is cheaper: ~CAD 960 less in regular and ~CAD 975 less in frosted (see the Packer vs Straight-Sided tab). Packer sizes: Balance 120cc · 60ct 150cc · 90ct 250cc. The rest of this tab covers the straight-sided route if you prefer that look.</v>
      </c>
      <c r="C6" s="6"/>
      <c r="D6" s="6"/>
      <c r="E6" s="6"/>
      <c r="F6" s="6"/>
      <c r="G6" s="6"/>
      <c r="H6" s="6"/>
      <c r="I6" s="6"/>
      <c r="J6" s="6"/>
      <c r="K6" s="6"/>
      <c r="L6" s="6"/>
      <c r="M6" s="6"/>
      <c r="N6" s="6"/>
      <c r="O6" s="6"/>
      <c r="P6" s="6"/>
      <c r="Q6" s="6"/>
      <c r="R6" s="6"/>
    </row>
    <row r="7" customFormat="false" ht="30" hidden="false" customHeight="true" outlineLevel="0" collapsed="false">
      <c r="A7" s="5" t="s">
        <v>5</v>
      </c>
      <c r="B7" s="6" t="s">
        <v>6</v>
      </c>
      <c r="C7" s="6"/>
      <c r="D7" s="6"/>
      <c r="E7" s="6"/>
      <c r="F7" s="6"/>
      <c r="G7" s="6"/>
      <c r="H7" s="6"/>
      <c r="I7" s="6"/>
      <c r="J7" s="6"/>
      <c r="K7" s="6"/>
      <c r="L7" s="6"/>
      <c r="M7" s="6"/>
      <c r="N7" s="6"/>
      <c r="O7" s="6"/>
      <c r="P7" s="6"/>
      <c r="Q7" s="6"/>
      <c r="R7" s="6"/>
    </row>
    <row r="8" customFormat="false" ht="30" hidden="false" customHeight="true" outlineLevel="0" collapsed="false">
      <c r="A8" s="5" t="s">
        <v>7</v>
      </c>
      <c r="B8" s="6" t="s">
        <v>8</v>
      </c>
      <c r="C8" s="6"/>
      <c r="D8" s="6"/>
      <c r="E8" s="6"/>
      <c r="F8" s="6"/>
      <c r="G8" s="6"/>
      <c r="H8" s="6"/>
      <c r="I8" s="6"/>
      <c r="J8" s="6"/>
      <c r="K8" s="6"/>
      <c r="L8" s="6"/>
      <c r="M8" s="6"/>
      <c r="N8" s="6"/>
      <c r="O8" s="6"/>
      <c r="P8" s="6"/>
      <c r="Q8" s="6"/>
      <c r="R8" s="6"/>
    </row>
    <row r="9" customFormat="false" ht="30" hidden="false" customHeight="true" outlineLevel="0" collapsed="false">
      <c r="A9" s="5" t="s">
        <v>9</v>
      </c>
      <c r="B9" s="6" t="s">
        <v>10</v>
      </c>
      <c r="C9" s="6"/>
      <c r="D9" s="6"/>
      <c r="E9" s="6"/>
      <c r="F9" s="6"/>
      <c r="G9" s="6"/>
      <c r="H9" s="6"/>
      <c r="I9" s="6"/>
      <c r="J9" s="6"/>
      <c r="K9" s="6"/>
      <c r="L9" s="6"/>
      <c r="M9" s="6"/>
      <c r="N9" s="6"/>
      <c r="O9" s="6"/>
      <c r="P9" s="6"/>
      <c r="Q9" s="6"/>
      <c r="R9" s="6"/>
    </row>
    <row r="10" customFormat="false" ht="30" hidden="false" customHeight="true" outlineLevel="0" collapsed="false">
      <c r="A10" s="5" t="s">
        <v>11</v>
      </c>
      <c r="B10" s="6" t="str">
        <f aca="false">"It depends on where Burch's jars are made (ask them). NOT US-made → buy both from Burch in ONE shipment (Plan B): within CAD "&amp;TEXT(ABS(D58),"#,##0")&amp;" of China, with no 3-month wait and no quality risk. US-made (50% surtax) → a China order saves ~CAD "&amp;TEXT(E58,"#,##0")&amp;" (Plan A), if the RFQ meets the table 3 targets."</f>
        <v>It depends on where Burch's jars are made (ask them). NOT US-made → buy both from Burch in ONE shipment (Plan B): within CAD 14 of China, with no 3-month wait and no quality risk. US-made (50% surtax) → a China order saves ~CAD 906 (Plan A), if the RFQ meets the table 3 targets.</v>
      </c>
      <c r="C10" s="6"/>
      <c r="D10" s="6"/>
      <c r="E10" s="6"/>
      <c r="F10" s="6"/>
      <c r="G10" s="6"/>
      <c r="H10" s="6"/>
      <c r="I10" s="6"/>
      <c r="J10" s="6"/>
      <c r="K10" s="6"/>
      <c r="L10" s="6"/>
      <c r="M10" s="6"/>
      <c r="N10" s="6"/>
      <c r="O10" s="6"/>
      <c r="P10" s="6"/>
      <c r="Q10" s="6"/>
      <c r="R10" s="6"/>
    </row>
    <row r="11" customFormat="false" ht="30" hidden="false" customHeight="true" outlineLevel="0" collapsed="false">
      <c r="A11" s="5" t="s">
        <v>12</v>
      </c>
      <c r="B11" s="6" t="str">
        <f aca="false">"Cost-first pick = REGULAR. Frosted adds ~CAD "&amp;TEXT(D59,"#,##0")&amp;" (Plan E vs A), mostly from spray-frosting just 500 × 8 oz locally. Cheaper frosted route: Balance + 60ct frosted from China by sea, and the 90ct frosted jars flown from China (DDP air, ~5–7 weeks incl. production) – see the Packer vs Straight-Sided tab. Frosting everything locally (Plan F) costs far more."</f>
        <v>Cost-first pick = REGULAR. Frosted adds ~CAD 1,374 (Plan E vs A), mostly from spray-frosting just 500 × 8 oz locally. Cheaper frosted route: Balance + 60ct frosted from China by sea, and the 90ct frosted jars flown from China (DDP air, ~5–7 weeks incl. production) – see the Packer vs Straight-Sided tab. Frosting everything locally (Plan F) costs far more.</v>
      </c>
      <c r="C11" s="6"/>
      <c r="D11" s="6"/>
      <c r="E11" s="6"/>
      <c r="F11" s="6"/>
      <c r="G11" s="6"/>
      <c r="H11" s="6"/>
      <c r="I11" s="6"/>
      <c r="J11" s="6"/>
      <c r="K11" s="6"/>
      <c r="L11" s="6"/>
      <c r="M11" s="6"/>
      <c r="N11" s="6"/>
      <c r="O11" s="6"/>
      <c r="P11" s="6"/>
      <c r="Q11" s="6"/>
      <c r="R11" s="6"/>
    </row>
    <row r="12" customFormat="false" ht="30" hidden="false" customHeight="true" outlineLevel="0" collapsed="false">
      <c r="A12" s="5" t="s">
        <v>13</v>
      </c>
      <c r="B12" s="6" t="str">
        <f aca="false">"Plan D (everything from Burch in one shipment, with a 9 oz for the 90ct) saves another ~CAD "&amp;TEXT(D53-D55,"#,##0")&amp;" vs Plan B, but a 9 oz looks only ~54% full if the 90ct ends up size 0. Your call on looks vs savings."</f>
        <v>Plan D (everything from Burch in one shipment, with a 9 oz for the 90ct) saves another ~CAD 544 vs Plan B, but a 9 oz looks only ~54% full if the 90ct ends up size 0. Your call on looks vs savings.</v>
      </c>
      <c r="C12" s="6"/>
      <c r="D12" s="6"/>
      <c r="E12" s="6"/>
      <c r="F12" s="6"/>
      <c r="G12" s="6"/>
      <c r="H12" s="6"/>
      <c r="I12" s="6"/>
      <c r="J12" s="6"/>
      <c r="K12" s="6"/>
      <c r="L12" s="6"/>
      <c r="M12" s="6"/>
      <c r="N12" s="6"/>
      <c r="O12" s="6"/>
      <c r="P12" s="6"/>
      <c r="Q12" s="6"/>
      <c r="R12" s="6"/>
    </row>
    <row r="13" customFormat="false" ht="30" hidden="false" customHeight="true" outlineLevel="0" collapsed="false">
      <c r="A13" s="5" t="s">
        <v>14</v>
      </c>
      <c r="B13" s="6" t="s">
        <v>15</v>
      </c>
      <c r="C13" s="6"/>
      <c r="D13" s="6"/>
      <c r="E13" s="6"/>
      <c r="F13" s="6"/>
      <c r="G13" s="6"/>
      <c r="H13" s="6"/>
      <c r="I13" s="6"/>
      <c r="J13" s="6"/>
      <c r="K13" s="6"/>
      <c r="L13" s="6"/>
      <c r="M13" s="6"/>
      <c r="N13" s="6"/>
      <c r="O13" s="6"/>
      <c r="P13" s="6"/>
      <c r="Q13" s="6"/>
      <c r="R13" s="6"/>
    </row>
    <row r="15" customFormat="false" ht="15" hidden="false" customHeight="false" outlineLevel="0" collapsed="false">
      <c r="A15" s="4" t="s">
        <v>16</v>
      </c>
      <c r="B15" s="4"/>
      <c r="C15" s="4"/>
      <c r="D15" s="4"/>
      <c r="E15" s="4"/>
      <c r="F15" s="4"/>
      <c r="G15" s="4"/>
      <c r="H15" s="4"/>
      <c r="I15" s="4"/>
      <c r="J15" s="4"/>
      <c r="K15" s="4"/>
      <c r="L15" s="4"/>
      <c r="M15" s="4"/>
      <c r="N15" s="4"/>
      <c r="O15" s="4"/>
      <c r="P15" s="4"/>
      <c r="Q15" s="4"/>
      <c r="R15" s="4"/>
    </row>
    <row r="16" customFormat="false" ht="43.5" hidden="false" customHeight="true" outlineLevel="0" collapsed="false">
      <c r="A16" s="7" t="s">
        <v>17</v>
      </c>
      <c r="B16" s="7" t="s">
        <v>18</v>
      </c>
      <c r="C16" s="7" t="s">
        <v>19</v>
      </c>
      <c r="D16" s="7" t="s">
        <v>20</v>
      </c>
      <c r="E16" s="7" t="s">
        <v>21</v>
      </c>
      <c r="F16" s="7" t="s">
        <v>22</v>
      </c>
      <c r="G16" s="7" t="s">
        <v>23</v>
      </c>
      <c r="H16" s="7" t="s">
        <v>24</v>
      </c>
      <c r="I16" s="7" t="s">
        <v>25</v>
      </c>
      <c r="J16" s="7" t="s">
        <v>26</v>
      </c>
      <c r="K16" s="7" t="s">
        <v>27</v>
      </c>
      <c r="L16" s="7" t="s">
        <v>28</v>
      </c>
      <c r="M16" s="7" t="s">
        <v>29</v>
      </c>
      <c r="N16" s="7" t="s">
        <v>30</v>
      </c>
      <c r="O16" s="7" t="s">
        <v>31</v>
      </c>
      <c r="P16" s="7" t="s">
        <v>32</v>
      </c>
      <c r="Q16" s="7" t="s">
        <v>33</v>
      </c>
      <c r="R16" s="7" t="s">
        <v>34</v>
      </c>
    </row>
    <row r="17" customFormat="false" ht="63.75" hidden="false" customHeight="true" outlineLevel="0" collapsed="false">
      <c r="A17" s="5" t="s">
        <v>35</v>
      </c>
      <c r="B17" s="6" t="s">
        <v>36</v>
      </c>
      <c r="C17" s="6" t="s">
        <v>37</v>
      </c>
      <c r="D17" s="8" t="s">
        <v>38</v>
      </c>
      <c r="E17" s="9" t="n">
        <v>0.88</v>
      </c>
      <c r="F17" s="10" t="n">
        <f aca="false">159.6/Inputs!$B$7</f>
        <v>0.3192</v>
      </c>
      <c r="G17" s="11" t="s">
        <v>39</v>
      </c>
      <c r="H17" s="10" t="n">
        <f aca="false">IF(D17="USD",Inputs!$B$10,1)</f>
        <v>1.424</v>
      </c>
      <c r="I17" s="12" t="n">
        <f aca="false">(E17+F17)*H17*(1+Inputs!$B$33)</f>
        <v>1.7076608</v>
      </c>
      <c r="J17" s="12" t="n">
        <f aca="false">Inputs!$B$25/Inputs!$B$7</f>
        <v>0.25</v>
      </c>
      <c r="K17" s="13" t="n">
        <f aca="false">I17+J17</f>
        <v>1.9576608</v>
      </c>
      <c r="L17" s="12" t="n">
        <f aca="false">K17+E17*H17*Inputs!$B$34</f>
        <v>2.5842208</v>
      </c>
      <c r="M17" s="12" t="n">
        <f aca="false">K17+Inputs!$B$37+(Inputs!$B$38+Inputs!$B$39)/Inputs!$B$7</f>
        <v>4.3076608</v>
      </c>
      <c r="N17" s="14" t="n">
        <v>237</v>
      </c>
      <c r="O17" s="15" t="n">
        <f aca="false">'Capsule Sizing'!$D$30/N17</f>
        <v>0.607733258412242</v>
      </c>
      <c r="P17" s="6" t="str">
        <f aca="false">IF('Capsule Sizing'!$E$29/N17&gt;1,"No",IF('Capsule Sizing'!$E$29/N17&gt;'Capsule Sizing'!$B$13,"Yes – snug, test","Yes"))</f>
        <v>Yes – snug, test</v>
      </c>
      <c r="Q17" s="16" t="n">
        <f aca="false">K17*Inputs!$B$7</f>
        <v>978.8304</v>
      </c>
      <c r="R17" s="16" t="n">
        <f aca="false">M17*Inputs!$B$7</f>
        <v>2153.8304</v>
      </c>
    </row>
    <row r="18" customFormat="false" ht="63.75" hidden="false" customHeight="true" outlineLevel="0" collapsed="false">
      <c r="A18" s="5" t="s">
        <v>40</v>
      </c>
      <c r="B18" s="6" t="s">
        <v>41</v>
      </c>
      <c r="C18" s="6" t="s">
        <v>37</v>
      </c>
      <c r="D18" s="8" t="s">
        <v>38</v>
      </c>
      <c r="E18" s="9" t="n">
        <v>0.46</v>
      </c>
      <c r="F18" s="9" t="n">
        <v>0.21</v>
      </c>
      <c r="G18" s="11" t="s">
        <v>42</v>
      </c>
      <c r="H18" s="10" t="n">
        <f aca="false">IF(D18="USD",Inputs!$B$10,1)</f>
        <v>1.424</v>
      </c>
      <c r="I18" s="12" t="n">
        <f aca="false">(E18+F18)*H18*(1+Inputs!$B$33)</f>
        <v>0.95408</v>
      </c>
      <c r="J18" s="12" t="n">
        <f aca="false">(Inputs!$B$24*Inputs!$B$10+Inputs!$B$25)/Inputs!$B$7</f>
        <v>1.3892</v>
      </c>
      <c r="K18" s="13" t="n">
        <f aca="false">I18+J18</f>
        <v>2.34328</v>
      </c>
      <c r="L18" s="12" t="n">
        <f aca="false">K18+E18*H18*Inputs!$B$34</f>
        <v>2.6708</v>
      </c>
      <c r="M18" s="12" t="n">
        <f aca="false">K18+Inputs!$B$37+(Inputs!$B$38+Inputs!$B$39)/Inputs!$B$7</f>
        <v>4.69328</v>
      </c>
      <c r="N18" s="14" t="n">
        <v>237</v>
      </c>
      <c r="O18" s="15" t="n">
        <f aca="false">'Capsule Sizing'!$D$30/N18</f>
        <v>0.607733258412242</v>
      </c>
      <c r="P18" s="6" t="str">
        <f aca="false">IF('Capsule Sizing'!$E$29/N18&gt;1,"No",IF('Capsule Sizing'!$E$29/N18&gt;'Capsule Sizing'!$B$13,"Yes – snug, test","Yes"))</f>
        <v>Yes – snug, test</v>
      </c>
      <c r="Q18" s="16" t="n">
        <f aca="false">K18*Inputs!$B$7</f>
        <v>1171.64</v>
      </c>
      <c r="R18" s="16" t="n">
        <f aca="false">M18*Inputs!$B$7</f>
        <v>2346.64</v>
      </c>
    </row>
    <row r="19" customFormat="false" ht="63.75" hidden="false" customHeight="true" outlineLevel="0" collapsed="false">
      <c r="A19" s="5" t="s">
        <v>43</v>
      </c>
      <c r="B19" s="6" t="s">
        <v>44</v>
      </c>
      <c r="C19" s="6" t="s">
        <v>45</v>
      </c>
      <c r="D19" s="8" t="s">
        <v>46</v>
      </c>
      <c r="E19" s="9" t="n">
        <v>2.2</v>
      </c>
      <c r="F19" s="9" t="n">
        <v>0</v>
      </c>
      <c r="G19" s="11" t="s">
        <v>47</v>
      </c>
      <c r="H19" s="10" t="n">
        <f aca="false">IF(D19="USD",Inputs!$B$10,1)</f>
        <v>1</v>
      </c>
      <c r="I19" s="12" t="n">
        <f aca="false">(E19+F19)*H19*(1+Inputs!$B$33)</f>
        <v>2.2</v>
      </c>
      <c r="J19" s="12" t="n">
        <f aca="false">Inputs!$B$26/Inputs!$B$7</f>
        <v>0.3</v>
      </c>
      <c r="K19" s="13" t="n">
        <f aca="false">I19+J19</f>
        <v>2.5</v>
      </c>
      <c r="L19" s="12" t="n">
        <f aca="false">K19</f>
        <v>2.5</v>
      </c>
      <c r="M19" s="12" t="n">
        <f aca="false">K19+Inputs!$B$37+(Inputs!$B$38+Inputs!$B$39)/Inputs!$B$7</f>
        <v>4.85</v>
      </c>
      <c r="N19" s="14" t="n">
        <v>237</v>
      </c>
      <c r="O19" s="15" t="n">
        <f aca="false">'Capsule Sizing'!$D$30/N19</f>
        <v>0.607733258412242</v>
      </c>
      <c r="P19" s="6" t="str">
        <f aca="false">IF('Capsule Sizing'!$E$29/N19&gt;1,"No",IF('Capsule Sizing'!$E$29/N19&gt;'Capsule Sizing'!$B$13,"Yes – snug, test","Yes"))</f>
        <v>Yes – snug, test</v>
      </c>
      <c r="Q19" s="16" t="n">
        <f aca="false">K19*Inputs!$B$7</f>
        <v>1250</v>
      </c>
      <c r="R19" s="16" t="n">
        <f aca="false">M19*Inputs!$B$7</f>
        <v>2425</v>
      </c>
    </row>
    <row r="20" customFormat="false" ht="63.75" hidden="false" customHeight="true" outlineLevel="0" collapsed="false">
      <c r="A20" s="5" t="s">
        <v>48</v>
      </c>
      <c r="B20" s="6" t="s">
        <v>49</v>
      </c>
      <c r="C20" s="6" t="s">
        <v>45</v>
      </c>
      <c r="D20" s="8" t="s">
        <v>46</v>
      </c>
      <c r="E20" s="9" t="n">
        <v>1.95</v>
      </c>
      <c r="F20" s="9" t="n">
        <v>0.54</v>
      </c>
      <c r="G20" s="11" t="s">
        <v>50</v>
      </c>
      <c r="H20" s="10" t="n">
        <f aca="false">IF(D20="USD",Inputs!$B$10,1)</f>
        <v>1</v>
      </c>
      <c r="I20" s="12" t="n">
        <f aca="false">(E20+F20)*H20*(1+Inputs!$B$33)</f>
        <v>2.49</v>
      </c>
      <c r="J20" s="12" t="n">
        <f aca="false">Inputs!$B$26/Inputs!$B$7</f>
        <v>0.3</v>
      </c>
      <c r="K20" s="13" t="n">
        <f aca="false">I20+J20</f>
        <v>2.79</v>
      </c>
      <c r="L20" s="12" t="n">
        <f aca="false">K20</f>
        <v>2.79</v>
      </c>
      <c r="M20" s="12" t="n">
        <f aca="false">K20+Inputs!$B$37+(Inputs!$B$38+Inputs!$B$39)/Inputs!$B$7</f>
        <v>5.14</v>
      </c>
      <c r="N20" s="14" t="n">
        <v>237</v>
      </c>
      <c r="O20" s="15" t="n">
        <f aca="false">'Capsule Sizing'!$D$30/N20</f>
        <v>0.607733258412242</v>
      </c>
      <c r="P20" s="6" t="str">
        <f aca="false">IF('Capsule Sizing'!$E$29/N20&gt;1,"No",IF('Capsule Sizing'!$E$29/N20&gt;'Capsule Sizing'!$B$13,"Yes – snug, test","Yes"))</f>
        <v>Yes – snug, test</v>
      </c>
      <c r="Q20" s="16" t="n">
        <f aca="false">K20*Inputs!$B$7</f>
        <v>1395</v>
      </c>
      <c r="R20" s="16" t="n">
        <f aca="false">M20*Inputs!$B$7</f>
        <v>2570</v>
      </c>
    </row>
    <row r="21" customFormat="false" ht="63.75" hidden="false" customHeight="true" outlineLevel="0" collapsed="false">
      <c r="A21" s="5" t="s">
        <v>51</v>
      </c>
      <c r="B21" s="6" t="s">
        <v>52</v>
      </c>
      <c r="C21" s="6" t="s">
        <v>45</v>
      </c>
      <c r="D21" s="8" t="s">
        <v>46</v>
      </c>
      <c r="E21" s="9" t="n">
        <v>0.99</v>
      </c>
      <c r="F21" s="9" t="n">
        <v>0.25</v>
      </c>
      <c r="G21" s="11" t="s">
        <v>53</v>
      </c>
      <c r="H21" s="10" t="n">
        <f aca="false">IF(D21="USD",Inputs!$B$10,1)</f>
        <v>1</v>
      </c>
      <c r="I21" s="12" t="n">
        <f aca="false">(E21+F21)*H21*(1+Inputs!$B$33)</f>
        <v>1.24</v>
      </c>
      <c r="J21" s="12" t="n">
        <f aca="false">Inputs!$B$26/Inputs!$B$7</f>
        <v>0.3</v>
      </c>
      <c r="K21" s="13" t="n">
        <f aca="false">I21+J21</f>
        <v>1.54</v>
      </c>
      <c r="L21" s="12" t="n">
        <f aca="false">K21</f>
        <v>1.54</v>
      </c>
      <c r="M21" s="12" t="n">
        <f aca="false">K21+Inputs!$B$37+(Inputs!$B$38+Inputs!$B$39)/Inputs!$B$7</f>
        <v>3.89</v>
      </c>
      <c r="N21" s="14" t="n">
        <v>266</v>
      </c>
      <c r="O21" s="15" t="n">
        <f aca="false">'Capsule Sizing'!$D$30/N21</f>
        <v>0.541476624976321</v>
      </c>
      <c r="P21" s="6" t="str">
        <f aca="false">IF('Capsule Sizing'!$E$29/N21&gt;1,"No",IF('Capsule Sizing'!$E$29/N21&gt;'Capsule Sizing'!$B$13,"Yes – snug, test","Yes"))</f>
        <v>Yes</v>
      </c>
      <c r="Q21" s="16" t="n">
        <f aca="false">K21*Inputs!$B$7</f>
        <v>770</v>
      </c>
      <c r="R21" s="16" t="n">
        <f aca="false">M21*Inputs!$B$7</f>
        <v>1945</v>
      </c>
    </row>
    <row r="22" customFormat="false" ht="63.75" hidden="false" customHeight="true" outlineLevel="0" collapsed="false">
      <c r="A22" s="5" t="s">
        <v>54</v>
      </c>
      <c r="B22" s="6" t="s">
        <v>55</v>
      </c>
      <c r="C22" s="6" t="s">
        <v>37</v>
      </c>
      <c r="D22" s="8" t="s">
        <v>38</v>
      </c>
      <c r="E22" s="9" t="n">
        <v>0.441</v>
      </c>
      <c r="F22" s="9" t="n">
        <v>0.17</v>
      </c>
      <c r="G22" s="11" t="s">
        <v>56</v>
      </c>
      <c r="H22" s="10" t="n">
        <f aca="false">IF(D22="USD",Inputs!$B$10,1)</f>
        <v>1.424</v>
      </c>
      <c r="I22" s="12" t="n">
        <f aca="false">(E22+F22)*H22*(1+Inputs!$B$33)</f>
        <v>0.870064</v>
      </c>
      <c r="J22" s="12" t="n">
        <f aca="false">(Inputs!$B$24*Inputs!$B$10+Inputs!$B$25)/Inputs!$B$7</f>
        <v>1.3892</v>
      </c>
      <c r="K22" s="13" t="n">
        <f aca="false">I22+J22</f>
        <v>2.259264</v>
      </c>
      <c r="L22" s="12" t="n">
        <f aca="false">K22+E22*H22*Inputs!$B$34</f>
        <v>2.573256</v>
      </c>
      <c r="M22" s="12" t="n">
        <f aca="false">K22+Inputs!$B$37+(Inputs!$B$38+Inputs!$B$39)/Inputs!$B$7</f>
        <v>4.609264</v>
      </c>
      <c r="N22" s="14" t="n">
        <v>266</v>
      </c>
      <c r="O22" s="15" t="n">
        <f aca="false">'Capsule Sizing'!$D$30/N22</f>
        <v>0.541476624976321</v>
      </c>
      <c r="P22" s="6" t="str">
        <f aca="false">IF('Capsule Sizing'!$E$29/N22&gt;1,"No",IF('Capsule Sizing'!$E$29/N22&gt;'Capsule Sizing'!$B$13,"Yes – snug, test","Yes"))</f>
        <v>Yes</v>
      </c>
      <c r="Q22" s="16" t="n">
        <f aca="false">K22*Inputs!$B$7</f>
        <v>1129.632</v>
      </c>
      <c r="R22" s="16" t="n">
        <f aca="false">M22*Inputs!$B$7</f>
        <v>2304.632</v>
      </c>
    </row>
    <row r="23" customFormat="false" ht="15" hidden="false" customHeight="false" outlineLevel="0" collapsed="false">
      <c r="A23" s="17" t="s">
        <v>57</v>
      </c>
      <c r="K23" s="18" t="n">
        <f aca="false">MIN(K17:K20)</f>
        <v>1.9576608</v>
      </c>
      <c r="L23" s="18" t="n">
        <f aca="false">MIN(L17:L20)</f>
        <v>2.5</v>
      </c>
      <c r="M23" s="18" t="n">
        <f aca="false">MIN(M17:M20)</f>
        <v>4.3076608</v>
      </c>
    </row>
    <row r="25" customFormat="false" ht="15" hidden="false" customHeight="false" outlineLevel="0" collapsed="false">
      <c r="A25" s="4" t="s">
        <v>58</v>
      </c>
      <c r="B25" s="4"/>
      <c r="C25" s="4"/>
      <c r="D25" s="4"/>
      <c r="E25" s="4"/>
      <c r="F25" s="4"/>
      <c r="G25" s="4"/>
      <c r="H25" s="4"/>
      <c r="I25" s="4"/>
      <c r="J25" s="4"/>
      <c r="K25" s="4"/>
      <c r="L25" s="4"/>
      <c r="M25" s="4"/>
      <c r="N25" s="4"/>
      <c r="O25" s="4"/>
      <c r="P25" s="4"/>
      <c r="Q25" s="4"/>
      <c r="R25" s="4"/>
    </row>
    <row r="26" customFormat="false" ht="30" hidden="false" customHeight="true" outlineLevel="0" collapsed="false">
      <c r="A26" s="19" t="s">
        <v>59</v>
      </c>
      <c r="B26" s="19"/>
      <c r="C26" s="19"/>
      <c r="D26" s="19"/>
      <c r="E26" s="19"/>
      <c r="F26" s="19"/>
      <c r="G26" s="19"/>
      <c r="H26" s="19"/>
      <c r="I26" s="19"/>
      <c r="J26" s="19"/>
      <c r="K26" s="19"/>
      <c r="L26" s="19"/>
      <c r="M26" s="19"/>
      <c r="N26" s="19"/>
      <c r="O26" s="19"/>
      <c r="P26" s="19"/>
      <c r="Q26" s="19"/>
      <c r="R26" s="19"/>
    </row>
    <row r="27" customFormat="false" ht="43.5" hidden="false" customHeight="true" outlineLevel="0" collapsed="false">
      <c r="A27" s="7" t="s">
        <v>60</v>
      </c>
      <c r="B27" s="7" t="s">
        <v>61</v>
      </c>
      <c r="C27" s="7" t="s">
        <v>62</v>
      </c>
      <c r="D27" s="7" t="s">
        <v>63</v>
      </c>
      <c r="E27" s="7" t="s">
        <v>24</v>
      </c>
      <c r="F27" s="7" t="s">
        <v>25</v>
      </c>
      <c r="G27" s="7" t="s">
        <v>64</v>
      </c>
      <c r="H27" s="7" t="s">
        <v>65</v>
      </c>
      <c r="I27" s="7" t="s">
        <v>66</v>
      </c>
      <c r="J27" s="7" t="s">
        <v>67</v>
      </c>
      <c r="K27" s="7" t="s">
        <v>68</v>
      </c>
      <c r="L27" s="7" t="s">
        <v>69</v>
      </c>
      <c r="M27" s="7" t="s">
        <v>70</v>
      </c>
      <c r="N27" s="7" t="s">
        <v>71</v>
      </c>
    </row>
    <row r="28" customFormat="false" ht="15" hidden="false" customHeight="false" outlineLevel="0" collapsed="false">
      <c r="A28" s="20" t="s">
        <v>72</v>
      </c>
      <c r="B28" s="20"/>
      <c r="C28" s="20"/>
      <c r="D28" s="20"/>
      <c r="E28" s="20"/>
      <c r="F28" s="20"/>
      <c r="G28" s="20"/>
      <c r="H28" s="20"/>
      <c r="I28" s="20"/>
      <c r="J28" s="20"/>
      <c r="K28" s="20"/>
      <c r="L28" s="20"/>
      <c r="M28" s="20"/>
      <c r="N28" s="20"/>
    </row>
    <row r="29" customFormat="false" ht="15" hidden="false" customHeight="false" outlineLevel="0" collapsed="false">
      <c r="A29" s="21" t="s">
        <v>73</v>
      </c>
      <c r="B29" s="6" t="s">
        <v>74</v>
      </c>
      <c r="C29" s="22" t="str">
        <f aca="false">'Regular Finish – Top 3'!B25</f>
        <v>120 ml</v>
      </c>
      <c r="D29" s="23" t="n">
        <f aca="false">'Regular Finish – Top 3'!I25+'Regular Finish – Top 3'!K25</f>
        <v>0.49</v>
      </c>
      <c r="E29" s="23" t="n">
        <f aca="false">'Regular Finish – Top 3'!L25</f>
        <v>1.424</v>
      </c>
      <c r="F29" s="24" t="n">
        <f aca="false">D29*E29*(1+Inputs!$B$33)</f>
        <v>0.69776</v>
      </c>
      <c r="G29" s="24" t="n">
        <v>0</v>
      </c>
      <c r="H29" s="24" t="n">
        <f aca="false">(Inputs!$B$28+Inputs!$B$30)/(Inputs!$B$5+Inputs!$B$6)</f>
        <v>0.664</v>
      </c>
      <c r="I29" s="25" t="n">
        <f aca="false">F29+G29+H29</f>
        <v>1.36176</v>
      </c>
      <c r="J29" s="24" t="n">
        <v>0</v>
      </c>
      <c r="K29" s="24" t="n">
        <f aca="false">I29+J29</f>
        <v>1.36176</v>
      </c>
      <c r="L29" s="26" t="n">
        <f aca="false">Inputs!$B$5</f>
        <v>2000</v>
      </c>
      <c r="M29" s="27" t="n">
        <f aca="false">I29*L29</f>
        <v>2723.52</v>
      </c>
      <c r="N29" s="27" t="n">
        <f aca="false">K29*L29</f>
        <v>2723.52</v>
      </c>
    </row>
    <row r="30" customFormat="false" ht="15" hidden="false" customHeight="false" outlineLevel="0" collapsed="false">
      <c r="A30" s="21" t="s">
        <v>75</v>
      </c>
      <c r="B30" s="6" t="s">
        <v>74</v>
      </c>
      <c r="C30" s="22" t="str">
        <f aca="false">'Regular Finish – Top 3'!B26</f>
        <v>180–190 ml</v>
      </c>
      <c r="D30" s="23" t="n">
        <f aca="false">'Regular Finish – Top 3'!I26+'Regular Finish – Top 3'!K26</f>
        <v>0.55</v>
      </c>
      <c r="E30" s="23" t="n">
        <f aca="false">'Regular Finish – Top 3'!L26</f>
        <v>1.424</v>
      </c>
      <c r="F30" s="24" t="n">
        <f aca="false">D30*E30*(1+Inputs!$B$33)</f>
        <v>0.7832</v>
      </c>
      <c r="G30" s="24" t="n">
        <v>0</v>
      </c>
      <c r="H30" s="24" t="n">
        <f aca="false">(Inputs!$B$28+Inputs!$B$30)/(Inputs!$B$5+Inputs!$B$6)</f>
        <v>0.664</v>
      </c>
      <c r="I30" s="25" t="n">
        <f aca="false">F30+G30+H30</f>
        <v>1.4472</v>
      </c>
      <c r="J30" s="24" t="n">
        <v>0</v>
      </c>
      <c r="K30" s="24" t="n">
        <f aca="false">I30+J30</f>
        <v>1.4472</v>
      </c>
      <c r="L30" s="26" t="n">
        <f aca="false">Inputs!$B$6</f>
        <v>500</v>
      </c>
      <c r="M30" s="27" t="n">
        <f aca="false">I30*L30</f>
        <v>723.6</v>
      </c>
      <c r="N30" s="27" t="n">
        <f aca="false">K30*L30</f>
        <v>723.6</v>
      </c>
    </row>
    <row r="31" customFormat="false" ht="15" hidden="false" customHeight="false" outlineLevel="0" collapsed="false">
      <c r="A31" s="28" t="s">
        <v>76</v>
      </c>
      <c r="B31" s="29"/>
      <c r="C31" s="29"/>
      <c r="D31" s="29"/>
      <c r="E31" s="29"/>
      <c r="F31" s="29"/>
      <c r="G31" s="29"/>
      <c r="H31" s="29"/>
      <c r="I31" s="29"/>
      <c r="J31" s="29"/>
      <c r="K31" s="29"/>
      <c r="L31" s="29"/>
      <c r="M31" s="30" t="n">
        <f aca="false">SUM(M29:M30)</f>
        <v>3447.12</v>
      </c>
      <c r="N31" s="30" t="n">
        <f aca="false">SUM(N29:N30)</f>
        <v>3447.12</v>
      </c>
    </row>
    <row r="32" customFormat="false" ht="15" hidden="false" customHeight="false" outlineLevel="0" collapsed="false">
      <c r="A32" s="20" t="s">
        <v>77</v>
      </c>
      <c r="B32" s="20"/>
      <c r="C32" s="20"/>
      <c r="D32" s="20"/>
      <c r="E32" s="20"/>
      <c r="F32" s="20"/>
      <c r="G32" s="20"/>
      <c r="H32" s="20"/>
      <c r="I32" s="20"/>
      <c r="J32" s="20"/>
      <c r="K32" s="20"/>
      <c r="L32" s="20"/>
      <c r="M32" s="20"/>
      <c r="N32" s="20"/>
    </row>
    <row r="33" customFormat="false" ht="15" hidden="false" customHeight="false" outlineLevel="0" collapsed="false">
      <c r="A33" s="21" t="s">
        <v>73</v>
      </c>
      <c r="B33" s="6" t="s">
        <v>78</v>
      </c>
      <c r="C33" s="22" t="str">
        <f aca="false">'Regular Finish – Top 3'!B7</f>
        <v>4 oz</v>
      </c>
      <c r="D33" s="23" t="n">
        <f aca="false">'Regular Finish – Top 3'!I7+'Regular Finish – Top 3'!K7</f>
        <v>0.617083333333333</v>
      </c>
      <c r="E33" s="23" t="n">
        <f aca="false">'Regular Finish – Top 3'!L7</f>
        <v>1.424</v>
      </c>
      <c r="F33" s="24" t="n">
        <f aca="false">D33*E33*(1+Inputs!$B$33)</f>
        <v>0.878726666666667</v>
      </c>
      <c r="G33" s="24" t="n">
        <v>0</v>
      </c>
      <c r="H33" s="24" t="n">
        <f aca="false">(Inputs!$B$18*Inputs!$B$10+Inputs!$B$19)/(Inputs!$B$5+Inputs!$B$6)</f>
        <v>0.44024</v>
      </c>
      <c r="I33" s="25" t="n">
        <f aca="false">F33+G33+H33</f>
        <v>1.31896666666667</v>
      </c>
      <c r="J33" s="24" t="n">
        <f aca="false">'Regular Finish – Top 3'!I7*E33*Inputs!$B$34</f>
        <v>0.339683333333333</v>
      </c>
      <c r="K33" s="24" t="n">
        <f aca="false">I33+J33</f>
        <v>1.65865</v>
      </c>
      <c r="L33" s="26" t="n">
        <f aca="false">Inputs!$B$5</f>
        <v>2000</v>
      </c>
      <c r="M33" s="27" t="n">
        <f aca="false">I33*L33</f>
        <v>2637.93333333333</v>
      </c>
      <c r="N33" s="27" t="n">
        <f aca="false">K33*L33</f>
        <v>3317.3</v>
      </c>
    </row>
    <row r="34" customFormat="false" ht="15" hidden="false" customHeight="false" outlineLevel="0" collapsed="false">
      <c r="A34" s="21" t="s">
        <v>75</v>
      </c>
      <c r="B34" s="6" t="s">
        <v>78</v>
      </c>
      <c r="C34" s="22" t="str">
        <f aca="false">'Regular Finish – Top 3'!B8</f>
        <v>6 oz</v>
      </c>
      <c r="D34" s="23" t="n">
        <f aca="false">'Regular Finish – Top 3'!I8+'Regular Finish – Top 3'!K8</f>
        <v>0.8075</v>
      </c>
      <c r="E34" s="23" t="n">
        <f aca="false">'Regular Finish – Top 3'!L8</f>
        <v>1.424</v>
      </c>
      <c r="F34" s="24" t="n">
        <f aca="false">D34*E34*(1+Inputs!$B$33)</f>
        <v>1.14988</v>
      </c>
      <c r="G34" s="24" t="n">
        <v>0</v>
      </c>
      <c r="H34" s="24" t="n">
        <f aca="false">(Inputs!$B$18*Inputs!$B$10+Inputs!$B$19)/(Inputs!$B$5+Inputs!$B$6)</f>
        <v>0.44024</v>
      </c>
      <c r="I34" s="25" t="n">
        <f aca="false">F34+G34+H34</f>
        <v>1.59012</v>
      </c>
      <c r="J34" s="24" t="n">
        <f aca="false">'Regular Finish – Top 3'!I8*E34*Inputs!$B$34</f>
        <v>0.48238</v>
      </c>
      <c r="K34" s="24" t="n">
        <f aca="false">I34+J34</f>
        <v>2.0725</v>
      </c>
      <c r="L34" s="26" t="n">
        <f aca="false">Inputs!$B$6</f>
        <v>500</v>
      </c>
      <c r="M34" s="27" t="n">
        <f aca="false">I34*L34</f>
        <v>795.06</v>
      </c>
      <c r="N34" s="27" t="n">
        <f aca="false">K34*L34</f>
        <v>1036.25</v>
      </c>
    </row>
    <row r="35" customFormat="false" ht="15" hidden="false" customHeight="false" outlineLevel="0" collapsed="false">
      <c r="A35" s="28" t="s">
        <v>76</v>
      </c>
      <c r="B35" s="29"/>
      <c r="C35" s="29"/>
      <c r="D35" s="29"/>
      <c r="E35" s="29"/>
      <c r="F35" s="29"/>
      <c r="G35" s="29"/>
      <c r="H35" s="29"/>
      <c r="I35" s="29"/>
      <c r="J35" s="29"/>
      <c r="K35" s="29"/>
      <c r="L35" s="29"/>
      <c r="M35" s="30" t="n">
        <f aca="false">SUM(M33:M34)</f>
        <v>3432.99333333333</v>
      </c>
      <c r="N35" s="30" t="n">
        <f aca="false">SUM(N33:N34)</f>
        <v>4353.55</v>
      </c>
    </row>
    <row r="36" customFormat="false" ht="15" hidden="false" customHeight="false" outlineLevel="0" collapsed="false">
      <c r="A36" s="20" t="s">
        <v>79</v>
      </c>
      <c r="B36" s="20"/>
      <c r="C36" s="20"/>
      <c r="D36" s="20"/>
      <c r="E36" s="20"/>
      <c r="F36" s="20"/>
      <c r="G36" s="20"/>
      <c r="H36" s="20"/>
      <c r="I36" s="20"/>
      <c r="J36" s="20"/>
      <c r="K36" s="20"/>
      <c r="L36" s="20"/>
      <c r="M36" s="20"/>
      <c r="N36" s="20"/>
    </row>
    <row r="37" customFormat="false" ht="15" hidden="false" customHeight="false" outlineLevel="0" collapsed="false">
      <c r="A37" s="21" t="s">
        <v>73</v>
      </c>
      <c r="B37" s="6" t="s">
        <v>80</v>
      </c>
      <c r="C37" s="22" t="str">
        <f aca="false">'Regular Finish – Top 3'!B34</f>
        <v>4 oz</v>
      </c>
      <c r="D37" s="23" t="n">
        <f aca="false">'Regular Finish – Top 3'!I34+'Regular Finish – Top 3'!K34</f>
        <v>1.46</v>
      </c>
      <c r="E37" s="23" t="n">
        <f aca="false">'Regular Finish – Top 3'!L34</f>
        <v>1</v>
      </c>
      <c r="F37" s="24" t="n">
        <f aca="false">D37*E37*(1+Inputs!$B$33)</f>
        <v>1.46</v>
      </c>
      <c r="G37" s="24" t="n">
        <v>0</v>
      </c>
      <c r="H37" s="24" t="n">
        <f aca="false">Inputs!$B$20/Inputs!$B$5</f>
        <v>0.15</v>
      </c>
      <c r="I37" s="25" t="n">
        <f aca="false">F37+G37+H37</f>
        <v>1.61</v>
      </c>
      <c r="J37" s="24" t="n">
        <v>0</v>
      </c>
      <c r="K37" s="24" t="n">
        <f aca="false">I37+J37</f>
        <v>1.61</v>
      </c>
      <c r="L37" s="26" t="n">
        <f aca="false">Inputs!$B$5</f>
        <v>2000</v>
      </c>
      <c r="M37" s="27" t="n">
        <f aca="false">I37*L37</f>
        <v>3220</v>
      </c>
      <c r="N37" s="27" t="n">
        <f aca="false">K37*L37</f>
        <v>3220</v>
      </c>
    </row>
    <row r="38" customFormat="false" ht="15" hidden="false" customHeight="false" outlineLevel="0" collapsed="false">
      <c r="A38" s="21" t="s">
        <v>75</v>
      </c>
      <c r="B38" s="6" t="s">
        <v>78</v>
      </c>
      <c r="C38" s="22" t="str">
        <f aca="false">'Regular Finish – Top 3'!B8</f>
        <v>6 oz</v>
      </c>
      <c r="D38" s="23" t="n">
        <f aca="false">'Regular Finish – Top 3'!I8+'Regular Finish – Top 3'!K8</f>
        <v>0.8075</v>
      </c>
      <c r="E38" s="23" t="n">
        <f aca="false">'Regular Finish – Top 3'!L8</f>
        <v>1.424</v>
      </c>
      <c r="F38" s="24" t="n">
        <f aca="false">D38*E38*(1+Inputs!$B$33)</f>
        <v>1.14988</v>
      </c>
      <c r="G38" s="24" t="n">
        <v>0</v>
      </c>
      <c r="H38" s="24" t="n">
        <f aca="false">(Inputs!$B$24*Inputs!$B$10+Inputs!$B$25)/Inputs!$B$6</f>
        <v>1.3892</v>
      </c>
      <c r="I38" s="25" t="n">
        <f aca="false">F38+G38+H38</f>
        <v>2.53908</v>
      </c>
      <c r="J38" s="24" t="n">
        <f aca="false">'Regular Finish – Top 3'!I8*E38*Inputs!$B$34</f>
        <v>0.48238</v>
      </c>
      <c r="K38" s="24" t="n">
        <f aca="false">I38+J38</f>
        <v>3.02146</v>
      </c>
      <c r="L38" s="26" t="n">
        <f aca="false">Inputs!$B$6</f>
        <v>500</v>
      </c>
      <c r="M38" s="27" t="n">
        <f aca="false">I38*L38</f>
        <v>1269.54</v>
      </c>
      <c r="N38" s="27" t="n">
        <f aca="false">K38*L38</f>
        <v>1510.73</v>
      </c>
    </row>
    <row r="39" customFormat="false" ht="15" hidden="false" customHeight="false" outlineLevel="0" collapsed="false">
      <c r="A39" s="28" t="s">
        <v>76</v>
      </c>
      <c r="B39" s="29"/>
      <c r="C39" s="29"/>
      <c r="D39" s="29"/>
      <c r="E39" s="29"/>
      <c r="F39" s="29"/>
      <c r="G39" s="29"/>
      <c r="H39" s="29"/>
      <c r="I39" s="29"/>
      <c r="J39" s="29"/>
      <c r="K39" s="29"/>
      <c r="L39" s="29"/>
      <c r="M39" s="30" t="n">
        <f aca="false">SUM(M37:M38)</f>
        <v>4489.54</v>
      </c>
      <c r="N39" s="30" t="n">
        <f aca="false">SUM(N37:N38)</f>
        <v>4730.73</v>
      </c>
    </row>
    <row r="40" customFormat="false" ht="15" hidden="false" customHeight="false" outlineLevel="0" collapsed="false">
      <c r="A40" s="20" t="s">
        <v>81</v>
      </c>
      <c r="B40" s="20"/>
      <c r="C40" s="20"/>
      <c r="D40" s="20"/>
      <c r="E40" s="20"/>
      <c r="F40" s="20"/>
      <c r="G40" s="20"/>
      <c r="H40" s="20"/>
      <c r="I40" s="20"/>
      <c r="J40" s="20"/>
      <c r="K40" s="20"/>
      <c r="L40" s="20"/>
      <c r="M40" s="20"/>
      <c r="N40" s="20"/>
    </row>
    <row r="41" customFormat="false" ht="15" hidden="false" customHeight="false" outlineLevel="0" collapsed="false">
      <c r="A41" s="21" t="s">
        <v>73</v>
      </c>
      <c r="B41" s="6" t="s">
        <v>82</v>
      </c>
      <c r="C41" s="22" t="str">
        <f aca="false">'Frosted Finish – Top 3'!B7</f>
        <v>120 ml</v>
      </c>
      <c r="D41" s="23" t="n">
        <f aca="false">'Frosted Finish – Top 3'!I7+'Frosted Finish – Top 3'!K7</f>
        <v>0.53</v>
      </c>
      <c r="E41" s="23" t="n">
        <f aca="false">'Frosted Finish – Top 3'!L7</f>
        <v>1.424</v>
      </c>
      <c r="F41" s="24" t="n">
        <f aca="false">D41*E41*(1+Inputs!$B$33)</f>
        <v>0.75472</v>
      </c>
      <c r="G41" s="24" t="n">
        <v>0</v>
      </c>
      <c r="H41" s="24" t="n">
        <f aca="false">(Inputs!$B$28+Inputs!$B$30)/(Inputs!$B$5+Inputs!$B$6)</f>
        <v>0.664</v>
      </c>
      <c r="I41" s="25" t="n">
        <f aca="false">F41+G41+H41</f>
        <v>1.41872</v>
      </c>
      <c r="J41" s="24" t="n">
        <v>0</v>
      </c>
      <c r="K41" s="24" t="n">
        <f aca="false">I41+J41</f>
        <v>1.41872</v>
      </c>
      <c r="L41" s="26" t="n">
        <f aca="false">Inputs!$B$5</f>
        <v>2000</v>
      </c>
      <c r="M41" s="27" t="n">
        <f aca="false">I41*L41</f>
        <v>2837.44</v>
      </c>
      <c r="N41" s="27" t="n">
        <f aca="false">K41*L41</f>
        <v>2837.44</v>
      </c>
    </row>
    <row r="42" customFormat="false" ht="15" hidden="false" customHeight="false" outlineLevel="0" collapsed="false">
      <c r="A42" s="21" t="s">
        <v>75</v>
      </c>
      <c r="B42" s="6" t="s">
        <v>82</v>
      </c>
      <c r="C42" s="22" t="str">
        <f aca="false">'Frosted Finish – Top 3'!B8</f>
        <v>180–190 ml</v>
      </c>
      <c r="D42" s="23" t="n">
        <f aca="false">'Frosted Finish – Top 3'!I8+'Frosted Finish – Top 3'!K8</f>
        <v>0.67</v>
      </c>
      <c r="E42" s="23" t="n">
        <f aca="false">'Frosted Finish – Top 3'!L8</f>
        <v>1.424</v>
      </c>
      <c r="F42" s="24" t="n">
        <f aca="false">D42*E42*(1+Inputs!$B$33)</f>
        <v>0.95408</v>
      </c>
      <c r="G42" s="24" t="n">
        <v>0</v>
      </c>
      <c r="H42" s="24" t="n">
        <f aca="false">(Inputs!$B$28+Inputs!$B$30)/(Inputs!$B$5+Inputs!$B$6)</f>
        <v>0.664</v>
      </c>
      <c r="I42" s="25" t="n">
        <f aca="false">F42+G42+H42</f>
        <v>1.61808</v>
      </c>
      <c r="J42" s="24" t="n">
        <v>0</v>
      </c>
      <c r="K42" s="24" t="n">
        <f aca="false">I42+J42</f>
        <v>1.61808</v>
      </c>
      <c r="L42" s="26" t="n">
        <f aca="false">Inputs!$B$6</f>
        <v>500</v>
      </c>
      <c r="M42" s="27" t="n">
        <f aca="false">I42*L42</f>
        <v>809.04</v>
      </c>
      <c r="N42" s="27" t="n">
        <f aca="false">K42*L42</f>
        <v>809.04</v>
      </c>
    </row>
    <row r="43" customFormat="false" ht="15" hidden="false" customHeight="false" outlineLevel="0" collapsed="false">
      <c r="A43" s="28" t="s">
        <v>76</v>
      </c>
      <c r="B43" s="29"/>
      <c r="C43" s="29"/>
      <c r="D43" s="29"/>
      <c r="E43" s="29"/>
      <c r="F43" s="29"/>
      <c r="G43" s="29"/>
      <c r="H43" s="29"/>
      <c r="I43" s="29"/>
      <c r="J43" s="29"/>
      <c r="K43" s="29"/>
      <c r="L43" s="29"/>
      <c r="M43" s="30" t="n">
        <f aca="false">SUM(M41:M42)</f>
        <v>3646.48</v>
      </c>
      <c r="N43" s="30" t="n">
        <f aca="false">SUM(N41:N42)</f>
        <v>3646.48</v>
      </c>
    </row>
    <row r="44" customFormat="false" ht="15" hidden="false" customHeight="false" outlineLevel="0" collapsed="false">
      <c r="A44" s="20" t="s">
        <v>83</v>
      </c>
      <c r="B44" s="20"/>
      <c r="C44" s="20"/>
      <c r="D44" s="20"/>
      <c r="E44" s="20"/>
      <c r="F44" s="20"/>
      <c r="G44" s="20"/>
      <c r="H44" s="20"/>
      <c r="I44" s="20"/>
      <c r="J44" s="20"/>
      <c r="K44" s="20"/>
      <c r="L44" s="20"/>
      <c r="M44" s="20"/>
      <c r="N44" s="20"/>
    </row>
    <row r="45" customFormat="false" ht="15" hidden="false" customHeight="false" outlineLevel="0" collapsed="false">
      <c r="A45" s="21" t="s">
        <v>73</v>
      </c>
      <c r="B45" s="6" t="s">
        <v>84</v>
      </c>
      <c r="C45" s="22" t="str">
        <f aca="false">'Regular Finish – Top 3'!B7</f>
        <v>4 oz</v>
      </c>
      <c r="D45" s="23" t="n">
        <f aca="false">'Regular Finish – Top 3'!I7+'Regular Finish – Top 3'!K7</f>
        <v>0.617083333333333</v>
      </c>
      <c r="E45" s="23" t="n">
        <f aca="false">'Regular Finish – Top 3'!L7</f>
        <v>1.424</v>
      </c>
      <c r="F45" s="24" t="n">
        <f aca="false">D45*E45*(1+Inputs!$B$33)</f>
        <v>0.878726666666667</v>
      </c>
      <c r="G45" s="24" t="n">
        <f aca="false">Inputs!$B$37+(Inputs!$B$38+Inputs!$B$39/2)/Inputs!$B$5</f>
        <v>0.85</v>
      </c>
      <c r="H45" s="24" t="n">
        <f aca="false">(Inputs!$B$18*Inputs!$B$10+Inputs!$B$19)/(Inputs!$B$5+Inputs!$B$6)</f>
        <v>0.44024</v>
      </c>
      <c r="I45" s="25" t="n">
        <f aca="false">F45+G45+H45</f>
        <v>2.16896666666667</v>
      </c>
      <c r="J45" s="24" t="n">
        <f aca="false">'Regular Finish – Top 3'!I7*E45*Inputs!$B$34</f>
        <v>0.339683333333333</v>
      </c>
      <c r="K45" s="24" t="n">
        <f aca="false">I45+J45</f>
        <v>2.50865</v>
      </c>
      <c r="L45" s="26" t="n">
        <f aca="false">Inputs!$B$5</f>
        <v>2000</v>
      </c>
      <c r="M45" s="27" t="n">
        <f aca="false">I45*L45</f>
        <v>4337.93333333333</v>
      </c>
      <c r="N45" s="27" t="n">
        <f aca="false">K45*L45</f>
        <v>5017.3</v>
      </c>
    </row>
    <row r="46" customFormat="false" ht="15" hidden="false" customHeight="false" outlineLevel="0" collapsed="false">
      <c r="A46" s="21" t="s">
        <v>75</v>
      </c>
      <c r="B46" s="6" t="s">
        <v>84</v>
      </c>
      <c r="C46" s="22" t="str">
        <f aca="false">'Regular Finish – Top 3'!B8</f>
        <v>6 oz</v>
      </c>
      <c r="D46" s="23" t="n">
        <f aca="false">'Regular Finish – Top 3'!I8+'Regular Finish – Top 3'!K8</f>
        <v>0.8075</v>
      </c>
      <c r="E46" s="23" t="n">
        <f aca="false">'Regular Finish – Top 3'!L8</f>
        <v>1.424</v>
      </c>
      <c r="F46" s="24" t="n">
        <f aca="false">D46*E46*(1+Inputs!$B$33)</f>
        <v>1.14988</v>
      </c>
      <c r="G46" s="24" t="n">
        <f aca="false">Inputs!$B$37+(Inputs!$B$38+Inputs!$B$39/2)/Inputs!$B$6</f>
        <v>2.05</v>
      </c>
      <c r="H46" s="24" t="n">
        <f aca="false">(Inputs!$B$18*Inputs!$B$10+Inputs!$B$19)/(Inputs!$B$5+Inputs!$B$6)</f>
        <v>0.44024</v>
      </c>
      <c r="I46" s="25" t="n">
        <f aca="false">F46+G46+H46</f>
        <v>3.64012</v>
      </c>
      <c r="J46" s="24" t="n">
        <f aca="false">'Regular Finish – Top 3'!I8*E46*Inputs!$B$34</f>
        <v>0.48238</v>
      </c>
      <c r="K46" s="24" t="n">
        <f aca="false">I46+J46</f>
        <v>4.1225</v>
      </c>
      <c r="L46" s="26" t="n">
        <f aca="false">Inputs!$B$6</f>
        <v>500</v>
      </c>
      <c r="M46" s="27" t="n">
        <f aca="false">I46*L46</f>
        <v>1820.06</v>
      </c>
      <c r="N46" s="27" t="n">
        <f aca="false">K46*L46</f>
        <v>2061.25</v>
      </c>
    </row>
    <row r="47" customFormat="false" ht="15" hidden="false" customHeight="false" outlineLevel="0" collapsed="false">
      <c r="A47" s="28" t="s">
        <v>76</v>
      </c>
      <c r="B47" s="29"/>
      <c r="C47" s="29"/>
      <c r="D47" s="29"/>
      <c r="E47" s="29"/>
      <c r="F47" s="29"/>
      <c r="G47" s="29"/>
      <c r="H47" s="29"/>
      <c r="I47" s="29"/>
      <c r="J47" s="29"/>
      <c r="K47" s="29"/>
      <c r="L47" s="29"/>
      <c r="M47" s="30" t="n">
        <f aca="false">SUM(M45:M46)</f>
        <v>6157.99333333334</v>
      </c>
      <c r="N47" s="30" t="n">
        <f aca="false">SUM(N45:N46)</f>
        <v>7078.55</v>
      </c>
    </row>
    <row r="48" customFormat="false" ht="15" hidden="false" customHeight="false" outlineLevel="0" collapsed="false">
      <c r="A48" s="2" t="s">
        <v>85</v>
      </c>
    </row>
    <row r="50" customFormat="false" ht="15" hidden="false" customHeight="false" outlineLevel="0" collapsed="false">
      <c r="A50" s="4" t="s">
        <v>86</v>
      </c>
      <c r="B50" s="4"/>
      <c r="C50" s="4"/>
      <c r="D50" s="4"/>
      <c r="E50" s="4"/>
      <c r="F50" s="4"/>
      <c r="G50" s="4"/>
      <c r="H50" s="4"/>
      <c r="I50" s="4"/>
      <c r="J50" s="4"/>
      <c r="K50" s="4"/>
      <c r="L50" s="4"/>
      <c r="M50" s="4"/>
      <c r="N50" s="4"/>
      <c r="O50" s="4"/>
      <c r="P50" s="4"/>
      <c r="Q50" s="4"/>
      <c r="R50" s="4"/>
    </row>
    <row r="51" customFormat="false" ht="30" hidden="false" customHeight="true" outlineLevel="0" collapsed="false">
      <c r="A51" s="7" t="s">
        <v>87</v>
      </c>
      <c r="B51" s="7"/>
      <c r="C51" s="7"/>
      <c r="D51" s="7" t="s">
        <v>70</v>
      </c>
      <c r="E51" s="7" t="s">
        <v>88</v>
      </c>
      <c r="F51" s="7" t="s">
        <v>89</v>
      </c>
      <c r="G51" s="7" t="s">
        <v>90</v>
      </c>
    </row>
    <row r="52" customFormat="false" ht="30" hidden="false" customHeight="true" outlineLevel="0" collapsed="false">
      <c r="A52" s="31" t="s">
        <v>91</v>
      </c>
      <c r="B52" s="31"/>
      <c r="C52" s="31"/>
      <c r="D52" s="32" t="n">
        <f aca="false">K23*Inputs!$B$7+M31</f>
        <v>4425.9504</v>
      </c>
      <c r="E52" s="33" t="n">
        <f aca="false">L23*Inputs!$B$7+N31</f>
        <v>4697.12</v>
      </c>
      <c r="F52" s="34" t="n">
        <f aca="false">D52/Inputs!$B$8</f>
        <v>1.4753168</v>
      </c>
      <c r="G52" s="33" t="n">
        <f aca="false">D52-Inputs!$B$15*Inputs!$B$8</f>
        <v>-5894.0496</v>
      </c>
    </row>
    <row r="53" customFormat="false" ht="30" hidden="false" customHeight="true" outlineLevel="0" collapsed="false">
      <c r="A53" s="31" t="s">
        <v>92</v>
      </c>
      <c r="B53" s="31"/>
      <c r="C53" s="31"/>
      <c r="D53" s="32" t="n">
        <f aca="false">K23*Inputs!$B$7+M35</f>
        <v>4411.82373333333</v>
      </c>
      <c r="E53" s="33" t="n">
        <f aca="false">L23*Inputs!$B$7+N35</f>
        <v>5603.55</v>
      </c>
      <c r="F53" s="34" t="n">
        <f aca="false">D53/Inputs!$B$8</f>
        <v>1.47060791111111</v>
      </c>
      <c r="G53" s="33" t="n">
        <f aca="false">D53-Inputs!$B$15*Inputs!$B$8</f>
        <v>-5908.17626666667</v>
      </c>
    </row>
    <row r="54" customFormat="false" ht="30" hidden="false" customHeight="true" outlineLevel="0" collapsed="false">
      <c r="A54" s="6" t="s">
        <v>93</v>
      </c>
      <c r="B54" s="6"/>
      <c r="C54" s="6"/>
      <c r="D54" s="30" t="n">
        <f aca="false">K23*Inputs!$B$7+M39</f>
        <v>5468.3704</v>
      </c>
      <c r="E54" s="27" t="n">
        <f aca="false">L23*Inputs!$B$7+N39</f>
        <v>5980.73</v>
      </c>
      <c r="F54" s="24" t="n">
        <f aca="false">D54/Inputs!$B$8</f>
        <v>1.82279013333333</v>
      </c>
      <c r="G54" s="27" t="n">
        <f aca="false">D54-Inputs!$B$15*Inputs!$B$8</f>
        <v>-4851.6296</v>
      </c>
    </row>
    <row r="55" customFormat="false" ht="30" hidden="false" customHeight="true" outlineLevel="0" collapsed="false">
      <c r="A55" s="6" t="s">
        <v>94</v>
      </c>
      <c r="B55" s="6"/>
      <c r="C55" s="6"/>
      <c r="D55" s="30" t="n">
        <f aca="false">'Split Plan – Local vs China'!N31</f>
        <v>3867.90666666667</v>
      </c>
      <c r="E55" s="27" t="n">
        <f aca="false">'Split Plan – Local vs China'!O31</f>
        <v>4945.4</v>
      </c>
      <c r="F55" s="24" t="n">
        <f aca="false">D55/Inputs!$B$8</f>
        <v>1.28930222222222</v>
      </c>
      <c r="G55" s="27" t="n">
        <f aca="false">D55-Inputs!$B$15*Inputs!$B$8</f>
        <v>-6452.09333333334</v>
      </c>
    </row>
    <row r="56" customFormat="false" ht="30" hidden="false" customHeight="true" outlineLevel="0" collapsed="false">
      <c r="A56" s="6" t="s">
        <v>95</v>
      </c>
      <c r="B56" s="6"/>
      <c r="C56" s="6"/>
      <c r="D56" s="30" t="n">
        <f aca="false">M23*Inputs!$B$7+M43</f>
        <v>5800.3104</v>
      </c>
      <c r="E56" s="27" t="n">
        <f aca="false">M23*Inputs!$B$7+(L23-K23)*Inputs!$B$7+N43</f>
        <v>6071.48</v>
      </c>
      <c r="F56" s="24" t="n">
        <f aca="false">D56/Inputs!$B$8</f>
        <v>1.9334368</v>
      </c>
      <c r="G56" s="27" t="n">
        <f aca="false">D56-Inputs!$B$15*Inputs!$B$8</f>
        <v>-4519.6896</v>
      </c>
    </row>
    <row r="57" customFormat="false" ht="30" hidden="false" customHeight="true" outlineLevel="0" collapsed="false">
      <c r="A57" s="6" t="s">
        <v>96</v>
      </c>
      <c r="B57" s="6"/>
      <c r="C57" s="6"/>
      <c r="D57" s="30" t="n">
        <f aca="false">M23*Inputs!$B$7+M47</f>
        <v>8311.82373333334</v>
      </c>
      <c r="E57" s="27" t="n">
        <f aca="false">M23*Inputs!$B$7+(L23-K23)*Inputs!$B$7+N47</f>
        <v>9503.55</v>
      </c>
      <c r="F57" s="24" t="n">
        <f aca="false">D57/Inputs!$B$8</f>
        <v>2.77060791111111</v>
      </c>
      <c r="G57" s="27" t="n">
        <f aca="false">D57-Inputs!$B$15*Inputs!$B$8</f>
        <v>-2008.17626666667</v>
      </c>
    </row>
    <row r="58" customFormat="false" ht="15" hidden="false" customHeight="false" outlineLevel="0" collapsed="false">
      <c r="A58" s="17" t="s">
        <v>97</v>
      </c>
      <c r="D58" s="35" t="n">
        <f aca="false">D53-D52</f>
        <v>-14.1266666666661</v>
      </c>
      <c r="E58" s="35" t="n">
        <f aca="false">E53-E52</f>
        <v>906.43</v>
      </c>
      <c r="F58" s="2" t="s">
        <v>98</v>
      </c>
    </row>
    <row r="59" customFormat="false" ht="15" hidden="false" customHeight="false" outlineLevel="0" collapsed="false">
      <c r="A59" s="17" t="s">
        <v>99</v>
      </c>
      <c r="D59" s="35" t="n">
        <f aca="false">D56-D52</f>
        <v>1374.36</v>
      </c>
      <c r="F59" s="2" t="s">
        <v>100</v>
      </c>
    </row>
    <row r="61" customFormat="false" ht="15" hidden="false" customHeight="false" outlineLevel="0" collapsed="false">
      <c r="A61" s="4" t="s">
        <v>101</v>
      </c>
      <c r="B61" s="4"/>
      <c r="C61" s="4"/>
      <c r="D61" s="4"/>
      <c r="E61" s="4"/>
      <c r="F61" s="4"/>
      <c r="G61" s="4"/>
      <c r="H61" s="4"/>
      <c r="I61" s="4"/>
      <c r="J61" s="4"/>
      <c r="K61" s="4"/>
      <c r="L61" s="4"/>
      <c r="M61" s="4"/>
      <c r="N61" s="4"/>
      <c r="O61" s="4"/>
      <c r="P61" s="4"/>
      <c r="Q61" s="4"/>
      <c r="R61" s="4"/>
    </row>
    <row r="62" customFormat="false" ht="30" hidden="false" customHeight="true" outlineLevel="0" collapsed="false">
      <c r="A62" s="5" t="s">
        <v>102</v>
      </c>
      <c r="B62" s="6" t="s">
        <v>103</v>
      </c>
      <c r="C62" s="6"/>
      <c r="D62" s="6"/>
      <c r="E62" s="6"/>
      <c r="F62" s="6"/>
      <c r="G62" s="6"/>
      <c r="H62" s="6"/>
      <c r="I62" s="6"/>
      <c r="J62" s="6"/>
      <c r="K62" s="6"/>
      <c r="L62" s="6"/>
      <c r="M62" s="6"/>
      <c r="N62" s="6"/>
      <c r="O62" s="6"/>
      <c r="P62" s="6"/>
      <c r="Q62" s="6"/>
      <c r="R62" s="6"/>
    </row>
    <row r="63" customFormat="false" ht="30" hidden="false" customHeight="true" outlineLevel="0" collapsed="false">
      <c r="A63" s="5" t="s">
        <v>104</v>
      </c>
      <c r="B63" s="6" t="s">
        <v>105</v>
      </c>
      <c r="C63" s="6"/>
      <c r="D63" s="6"/>
      <c r="E63" s="6"/>
      <c r="F63" s="6"/>
      <c r="G63" s="6"/>
      <c r="H63" s="6"/>
      <c r="I63" s="6"/>
      <c r="J63" s="6"/>
      <c r="K63" s="6"/>
      <c r="L63" s="6"/>
      <c r="M63" s="6"/>
      <c r="N63" s="6"/>
      <c r="O63" s="6"/>
      <c r="P63" s="6"/>
      <c r="Q63" s="6"/>
      <c r="R63" s="6"/>
    </row>
    <row r="64" customFormat="false" ht="30" hidden="false" customHeight="true" outlineLevel="0" collapsed="false">
      <c r="A64" s="5" t="s">
        <v>106</v>
      </c>
      <c r="B64" s="6" t="s">
        <v>107</v>
      </c>
      <c r="C64" s="6"/>
      <c r="D64" s="6"/>
      <c r="E64" s="6"/>
      <c r="F64" s="6"/>
      <c r="G64" s="6"/>
      <c r="H64" s="6"/>
      <c r="I64" s="6"/>
      <c r="J64" s="6"/>
      <c r="K64" s="6"/>
      <c r="L64" s="6"/>
      <c r="M64" s="6"/>
      <c r="N64" s="6"/>
      <c r="O64" s="6"/>
      <c r="P64" s="6"/>
      <c r="Q64" s="6"/>
      <c r="R64" s="6"/>
    </row>
    <row r="65" customFormat="false" ht="30" hidden="false" customHeight="true" outlineLevel="0" collapsed="false">
      <c r="A65" s="5" t="s">
        <v>108</v>
      </c>
      <c r="B65" s="6" t="s">
        <v>109</v>
      </c>
      <c r="C65" s="6"/>
      <c r="D65" s="6"/>
      <c r="E65" s="6"/>
      <c r="F65" s="6"/>
      <c r="G65" s="6"/>
      <c r="H65" s="6"/>
      <c r="I65" s="6"/>
      <c r="J65" s="6"/>
      <c r="K65" s="6"/>
      <c r="L65" s="6"/>
      <c r="M65" s="6"/>
      <c r="N65" s="6"/>
      <c r="O65" s="6"/>
      <c r="P65" s="6"/>
      <c r="Q65" s="6"/>
      <c r="R65" s="6"/>
    </row>
    <row r="66" customFormat="false" ht="30" hidden="false" customHeight="true" outlineLevel="0" collapsed="false">
      <c r="A66" s="5" t="s">
        <v>110</v>
      </c>
      <c r="B66" s="6" t="s">
        <v>111</v>
      </c>
      <c r="C66" s="6"/>
      <c r="D66" s="6"/>
      <c r="E66" s="6"/>
      <c r="F66" s="6"/>
      <c r="G66" s="6"/>
      <c r="H66" s="6"/>
      <c r="I66" s="6"/>
      <c r="J66" s="6"/>
      <c r="K66" s="6"/>
      <c r="L66" s="6"/>
      <c r="M66" s="6"/>
      <c r="N66" s="6"/>
      <c r="O66" s="6"/>
      <c r="P66" s="6"/>
      <c r="Q66" s="6"/>
      <c r="R66" s="6"/>
    </row>
    <row r="68" customFormat="false" ht="15" hidden="false" customHeight="false" outlineLevel="0" collapsed="false">
      <c r="A68" s="4" t="s">
        <v>112</v>
      </c>
      <c r="B68" s="4"/>
      <c r="C68" s="4"/>
      <c r="D68" s="4"/>
      <c r="E68" s="4"/>
      <c r="F68" s="4"/>
      <c r="G68" s="4"/>
      <c r="H68" s="4"/>
      <c r="I68" s="4"/>
      <c r="J68" s="4"/>
      <c r="K68" s="4"/>
      <c r="L68" s="4"/>
      <c r="M68" s="4"/>
      <c r="N68" s="4"/>
      <c r="O68" s="4"/>
      <c r="P68" s="4"/>
      <c r="Q68" s="4"/>
      <c r="R68" s="4"/>
    </row>
    <row r="69" customFormat="false" ht="15" hidden="false" customHeight="false" outlineLevel="0" collapsed="false">
      <c r="A69" s="36" t="s">
        <v>113</v>
      </c>
    </row>
    <row r="70" customFormat="false" ht="15" hidden="false" customHeight="false" outlineLevel="0" collapsed="false">
      <c r="A70" s="36" t="s">
        <v>114</v>
      </c>
    </row>
    <row r="71" customFormat="false" ht="15" hidden="false" customHeight="false" outlineLevel="0" collapsed="false">
      <c r="A71" s="36" t="s">
        <v>115</v>
      </c>
    </row>
    <row r="72" customFormat="false" ht="15" hidden="false" customHeight="false" outlineLevel="0" collapsed="false">
      <c r="A72" s="36" t="s">
        <v>116</v>
      </c>
    </row>
    <row r="73" customFormat="false" ht="15" hidden="false" customHeight="false" outlineLevel="0" collapsed="false">
      <c r="A73" s="36" t="s">
        <v>117</v>
      </c>
    </row>
    <row r="75" customFormat="false" ht="15" hidden="false" customHeight="false" outlineLevel="0" collapsed="false">
      <c r="A75" s="4" t="s">
        <v>118</v>
      </c>
      <c r="B75" s="4"/>
      <c r="C75" s="4"/>
      <c r="D75" s="4"/>
      <c r="E75" s="4"/>
      <c r="F75" s="4"/>
      <c r="G75" s="4"/>
      <c r="H75" s="4"/>
      <c r="I75" s="4"/>
      <c r="J75" s="4"/>
      <c r="K75" s="4"/>
      <c r="L75" s="4"/>
      <c r="M75" s="4"/>
      <c r="N75" s="4"/>
      <c r="O75" s="4"/>
      <c r="P75" s="4"/>
      <c r="Q75" s="4"/>
      <c r="R75" s="4"/>
    </row>
    <row r="76" customFormat="false" ht="15" hidden="false" customHeight="false" outlineLevel="0" collapsed="false">
      <c r="A76" s="36" t="s">
        <v>119</v>
      </c>
    </row>
    <row r="77" customFormat="false" ht="15" hidden="false" customHeight="false" outlineLevel="0" collapsed="false">
      <c r="A77" s="36" t="s">
        <v>120</v>
      </c>
    </row>
    <row r="78" customFormat="false" ht="15" hidden="false" customHeight="false" outlineLevel="0" collapsed="false">
      <c r="A78" s="36" t="s">
        <v>121</v>
      </c>
    </row>
    <row r="79" customFormat="false" ht="15" hidden="false" customHeight="false" outlineLevel="0" collapsed="false">
      <c r="A79" s="36" t="s">
        <v>122</v>
      </c>
    </row>
  </sheetData>
  <mergeCells count="33">
    <mergeCell ref="A3:R3"/>
    <mergeCell ref="A5:R5"/>
    <mergeCell ref="B6:R6"/>
    <mergeCell ref="B7:R7"/>
    <mergeCell ref="B8:R8"/>
    <mergeCell ref="B9:R9"/>
    <mergeCell ref="B10:R10"/>
    <mergeCell ref="B11:R11"/>
    <mergeCell ref="B12:R12"/>
    <mergeCell ref="B13:R13"/>
    <mergeCell ref="A15:R15"/>
    <mergeCell ref="A25:R25"/>
    <mergeCell ref="A26:R26"/>
    <mergeCell ref="A28:N28"/>
    <mergeCell ref="A32:N32"/>
    <mergeCell ref="A36:N36"/>
    <mergeCell ref="A40:N40"/>
    <mergeCell ref="A44:N44"/>
    <mergeCell ref="A50:R50"/>
    <mergeCell ref="A52:C52"/>
    <mergeCell ref="A53:C53"/>
    <mergeCell ref="A54:C54"/>
    <mergeCell ref="A55:C55"/>
    <mergeCell ref="A56:C56"/>
    <mergeCell ref="A57:C57"/>
    <mergeCell ref="A61:R61"/>
    <mergeCell ref="B62:R62"/>
    <mergeCell ref="B63:R63"/>
    <mergeCell ref="B64:R64"/>
    <mergeCell ref="B65:R65"/>
    <mergeCell ref="B66:R66"/>
    <mergeCell ref="A68:R68"/>
    <mergeCell ref="A75:R75"/>
  </mergeCells>
  <conditionalFormatting sqref="K17:K20">
    <cfRule type="expression" priority="2" aboveAverage="0" equalAverage="0" bottom="0" percent="0" rank="0" text="" dxfId="0">
      <formula>K17=MIN($K$17:$K$20)</formula>
    </cfRule>
  </conditionalFormatting>
  <conditionalFormatting sqref="L17:L20">
    <cfRule type="expression" priority="3" aboveAverage="0" equalAverage="0" bottom="0" percent="0" rank="0" text="" dxfId="0">
      <formula>L17=MIN($L$17:$L$20)</formula>
    </cfRule>
  </conditionalFormatting>
  <conditionalFormatting sqref="O17:O22">
    <cfRule type="cellIs" priority="4" operator="lessThan" aboveAverage="0" equalAverage="0" bottom="0" percent="0" rank="0" text="" dxfId="1">
      <formula>'Capsule Sizing'!$B$12</formula>
    </cfRule>
    <cfRule type="expression" priority="5" aboveAverage="0" equalAverage="0" bottom="0" percent="0" rank="0" text="" dxfId="2">
      <formula>AND(O17&gt;='Capsule Sizing'!$B$12,O17&lt;0.56)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30"/>
    <col collapsed="false" customWidth="true" hidden="false" outlineLevel="0" max="5" min="4" style="0" width="9"/>
    <col collapsed="false" customWidth="true" hidden="false" outlineLevel="0" max="6" min="6" style="0" width="10"/>
    <col collapsed="false" customWidth="true" hidden="false" outlineLevel="0" max="7" min="7" style="0" width="12"/>
    <col collapsed="false" customWidth="true" hidden="false" outlineLevel="0" max="8" min="8" style="0" width="7"/>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3" min="12" style="0" width="12"/>
    <col collapsed="false" customWidth="true" hidden="false" outlineLevel="0" max="14" min="14" style="0" width="8"/>
    <col collapsed="false" customWidth="true" hidden="false" outlineLevel="0" max="15" min="15" style="0" width="12"/>
    <col collapsed="false" customWidth="true" hidden="false" outlineLevel="0" max="16" min="16" style="0" width="13"/>
    <col collapsed="false" customWidth="true" hidden="false" outlineLevel="0" max="17" min="17" style="0" width="34"/>
  </cols>
  <sheetData>
    <row r="1" customFormat="false" ht="17.35" hidden="false" customHeight="false" outlineLevel="0" collapsed="false">
      <c r="A1" s="1" t="s">
        <v>123</v>
      </c>
    </row>
    <row r="2" customFormat="false" ht="15" hidden="false" customHeight="false" outlineLevel="0" collapsed="false">
      <c r="A2" s="2" t="s">
        <v>124</v>
      </c>
    </row>
    <row r="4" customFormat="false" ht="15" hidden="false" customHeight="false" outlineLevel="0" collapsed="false">
      <c r="A4" s="4" t="s">
        <v>125</v>
      </c>
      <c r="B4" s="4"/>
      <c r="C4" s="4"/>
      <c r="D4" s="4"/>
      <c r="E4" s="4"/>
      <c r="F4" s="4"/>
      <c r="G4" s="4"/>
      <c r="H4" s="4"/>
      <c r="I4" s="4"/>
      <c r="J4" s="4"/>
      <c r="K4" s="4"/>
      <c r="L4" s="4"/>
      <c r="M4" s="4"/>
      <c r="N4" s="4"/>
      <c r="O4" s="4"/>
      <c r="P4" s="4"/>
      <c r="Q4" s="4"/>
    </row>
    <row r="5" customFormat="false" ht="30" hidden="false" customHeight="true" outlineLevel="0" collapsed="false">
      <c r="A5" s="7" t="s">
        <v>126</v>
      </c>
      <c r="B5" s="7" t="s">
        <v>127</v>
      </c>
      <c r="C5" s="7" t="s">
        <v>128</v>
      </c>
      <c r="D5" s="7" t="s">
        <v>129</v>
      </c>
      <c r="E5" s="7" t="s">
        <v>130</v>
      </c>
      <c r="F5" s="7" t="s">
        <v>131</v>
      </c>
    </row>
    <row r="6" customFormat="false" ht="15" hidden="false" customHeight="false" outlineLevel="0" collapsed="false">
      <c r="A6" s="2" t="s">
        <v>132</v>
      </c>
      <c r="B6" s="2" t="s">
        <v>133</v>
      </c>
      <c r="C6" s="2" t="s">
        <v>134</v>
      </c>
      <c r="D6" s="2" t="s">
        <v>135</v>
      </c>
      <c r="E6" s="2" t="s">
        <v>136</v>
      </c>
    </row>
    <row r="7" customFormat="false" ht="15" hidden="false" customHeight="false" outlineLevel="0" collapsed="false">
      <c r="A7" s="21" t="s">
        <v>137</v>
      </c>
      <c r="B7" s="21" t="str">
        <f aca="false">IF('Capsule Sizing'!$E$26/135&gt;1,"Too small",IF('Capsule Sizing'!$D$26/120&lt;'Capsule Sizing'!$B$12,"Looks &lt; half ("&amp;TEXT('Capsule Sizing'!$D$26/120,"0%")&amp;")",IF('Capsule Sizing'!$E$26/120&gt;'Capsule Sizing'!$B$13,"Tight – test ("&amp;TEXT('Capsule Sizing'!$D$26/120,"0%")&amp;" full)","OK ("&amp;TEXT('Capsule Sizing'!$D$26/120,"0%")&amp;" full)")))</f>
        <v>Looks &lt; half (40%)</v>
      </c>
      <c r="C7" s="21" t="str">
        <f aca="false">IF('Capsule Sizing'!$E$26/171&gt;1,"Too small",IF('Capsule Sizing'!$D$26/150&lt;'Capsule Sizing'!$B$12,"Looks &lt; half ("&amp;TEXT('Capsule Sizing'!$D$26/150,"0%")&amp;")",IF('Capsule Sizing'!$E$26/150&gt;'Capsule Sizing'!$B$13,"Tight – test ("&amp;TEXT('Capsule Sizing'!$D$26/150,"0%")&amp;" full)","OK ("&amp;TEXT('Capsule Sizing'!$D$26/150,"0%")&amp;" full)")))</f>
        <v>Looks &lt; half (32%)</v>
      </c>
      <c r="D7" s="21" t="str">
        <f aca="false">IF('Capsule Sizing'!$E$26/226&gt;1,"Too small",IF('Capsule Sizing'!$D$26/200&lt;'Capsule Sizing'!$B$12,"Looks &lt; half ("&amp;TEXT('Capsule Sizing'!$D$26/200,"0%")&amp;")",IF('Capsule Sizing'!$E$26/200&gt;'Capsule Sizing'!$B$13,"Tight – test ("&amp;TEXT('Capsule Sizing'!$D$26/200,"0%")&amp;" full)","OK ("&amp;TEXT('Capsule Sizing'!$D$26/200,"0%")&amp;" full)")))</f>
        <v>Looks &lt; half (24%)</v>
      </c>
      <c r="E7" s="21" t="str">
        <f aca="false">IF('Capsule Sizing'!$E$26/275&gt;1,"Too small",IF('Capsule Sizing'!$D$26/250&lt;'Capsule Sizing'!$B$12,"Looks &lt; half ("&amp;TEXT('Capsule Sizing'!$D$26/250,"0%")&amp;")",IF('Capsule Sizing'!$E$26/250&gt;'Capsule Sizing'!$B$13,"Tight – test ("&amp;TEXT('Capsule Sizing'!$D$26/250,"0%")&amp;" full)","OK ("&amp;TEXT('Capsule Sizing'!$D$26/250,"0%")&amp;" full)")))</f>
        <v>Looks &lt; half (19%)</v>
      </c>
      <c r="F7" s="37" t="s">
        <v>138</v>
      </c>
    </row>
    <row r="8" customFormat="false" ht="15" hidden="false" customHeight="false" outlineLevel="0" collapsed="false">
      <c r="A8" s="21" t="s">
        <v>139</v>
      </c>
      <c r="B8" s="21" t="str">
        <f aca="false">IF('Capsule Sizing'!$E$28/135&gt;1,"Too small",IF('Capsule Sizing'!$D$28/120&lt;'Capsule Sizing'!$B$12,"Looks &lt; half ("&amp;TEXT('Capsule Sizing'!$D$28/120,"0%")&amp;")",IF('Capsule Sizing'!$E$28/120&gt;'Capsule Sizing'!$B$13,"Tight – test ("&amp;TEXT('Capsule Sizing'!$D$28/120,"0%")&amp;" full)","OK ("&amp;TEXT('Capsule Sizing'!$D$28/120,"0%")&amp;" full)")))</f>
        <v>Tight – test (80% full)</v>
      </c>
      <c r="C8" s="21" t="str">
        <f aca="false">IF('Capsule Sizing'!$E$28/171&gt;1,"Too small",IF('Capsule Sizing'!$D$28/150&lt;'Capsule Sizing'!$B$12,"Looks &lt; half ("&amp;TEXT('Capsule Sizing'!$D$28/150,"0%")&amp;")",IF('Capsule Sizing'!$E$28/150&gt;'Capsule Sizing'!$B$13,"Tight – test ("&amp;TEXT('Capsule Sizing'!$D$28/150,"0%")&amp;" full)","OK ("&amp;TEXT('Capsule Sizing'!$D$28/150,"0%")&amp;" full)")))</f>
        <v>OK (64% full)</v>
      </c>
      <c r="D8" s="21" t="str">
        <f aca="false">IF('Capsule Sizing'!$E$28/226&gt;1,"Too small",IF('Capsule Sizing'!$D$28/200&lt;'Capsule Sizing'!$B$12,"Looks &lt; half ("&amp;TEXT('Capsule Sizing'!$D$28/200,"0%")&amp;")",IF('Capsule Sizing'!$E$28/200&gt;'Capsule Sizing'!$B$13,"Tight – test ("&amp;TEXT('Capsule Sizing'!$D$28/200,"0%")&amp;" full)","OK ("&amp;TEXT('Capsule Sizing'!$D$28/200,"0%")&amp;" full)")))</f>
        <v>Looks &lt; half (48%)</v>
      </c>
      <c r="E8" s="21" t="str">
        <f aca="false">IF('Capsule Sizing'!$E$28/275&gt;1,"Too small",IF('Capsule Sizing'!$D$28/250&lt;'Capsule Sizing'!$B$12,"Looks &lt; half ("&amp;TEXT('Capsule Sizing'!$D$28/250,"0%")&amp;")",IF('Capsule Sizing'!$E$28/250&gt;'Capsule Sizing'!$B$13,"Tight – test ("&amp;TEXT('Capsule Sizing'!$D$28/250,"0%")&amp;" full)","OK ("&amp;TEXT('Capsule Sizing'!$D$28/250,"0%")&amp;" full)")))</f>
        <v>Looks &lt; half (38%)</v>
      </c>
      <c r="F8" s="37" t="s">
        <v>140</v>
      </c>
    </row>
    <row r="9" customFormat="false" ht="15" hidden="false" customHeight="false" outlineLevel="0" collapsed="false">
      <c r="A9" s="21" t="s">
        <v>141</v>
      </c>
      <c r="B9" s="21" t="str">
        <f aca="false">IF('Capsule Sizing'!$E$27/135&gt;1,"Too small",IF('Capsule Sizing'!$D$27/120&lt;'Capsule Sizing'!$B$12,"Looks &lt; half ("&amp;TEXT('Capsule Sizing'!$D$27/120,"0%")&amp;")",IF('Capsule Sizing'!$E$27/120&gt;'Capsule Sizing'!$B$13,"Tight – test ("&amp;TEXT('Capsule Sizing'!$D$27/120,"0%")&amp;" full)","OK ("&amp;TEXT('Capsule Sizing'!$D$27/120,"0%")&amp;" full)")))</f>
        <v>Too small</v>
      </c>
      <c r="C9" s="21" t="str">
        <f aca="false">IF('Capsule Sizing'!$E$27/171&gt;1,"Too small",IF('Capsule Sizing'!$D$27/150&lt;'Capsule Sizing'!$B$12,"Looks &lt; half ("&amp;TEXT('Capsule Sizing'!$D$27/150,"0%")&amp;")",IF('Capsule Sizing'!$E$27/150&gt;'Capsule Sizing'!$B$13,"Tight – test ("&amp;TEXT('Capsule Sizing'!$D$27/150,"0%")&amp;" full)","OK ("&amp;TEXT('Capsule Sizing'!$D$27/150,"0%")&amp;" full)")))</f>
        <v>Tight – test (85% full)</v>
      </c>
      <c r="D9" s="21" t="str">
        <f aca="false">IF('Capsule Sizing'!$E$27/226&gt;1,"Too small",IF('Capsule Sizing'!$D$27/200&lt;'Capsule Sizing'!$B$12,"Looks &lt; half ("&amp;TEXT('Capsule Sizing'!$D$27/200,"0%")&amp;")",IF('Capsule Sizing'!$E$27/200&gt;'Capsule Sizing'!$B$13,"Tight – test ("&amp;TEXT('Capsule Sizing'!$D$27/200,"0%")&amp;" full)","OK ("&amp;TEXT('Capsule Sizing'!$D$27/200,"0%")&amp;" full)")))</f>
        <v>OK (64% full)</v>
      </c>
      <c r="E9" s="21" t="str">
        <f aca="false">IF('Capsule Sizing'!$E$27/275&gt;1,"Too small",IF('Capsule Sizing'!$D$27/250&lt;'Capsule Sizing'!$B$12,"Looks &lt; half ("&amp;TEXT('Capsule Sizing'!$D$27/250,"0%")&amp;")",IF('Capsule Sizing'!$E$27/250&gt;'Capsule Sizing'!$B$13,"Tight – test ("&amp;TEXT('Capsule Sizing'!$D$27/250,"0%")&amp;" full)","OK ("&amp;TEXT('Capsule Sizing'!$D$27/250,"0%")&amp;" full)")))</f>
        <v>OK (51% full)</v>
      </c>
      <c r="F9" s="37" t="s">
        <v>142</v>
      </c>
    </row>
    <row r="10" customFormat="false" ht="15" hidden="false" customHeight="false" outlineLevel="0" collapsed="false">
      <c r="A10" s="21" t="s">
        <v>143</v>
      </c>
      <c r="B10" s="21" t="str">
        <f aca="false">IF('Capsule Sizing'!$E$30/135&gt;1,"Too small",IF('Capsule Sizing'!$D$30/120&lt;'Capsule Sizing'!$B$12,"Looks &lt; half ("&amp;TEXT('Capsule Sizing'!$D$30/120,"0%")&amp;")",IF('Capsule Sizing'!$E$30/120&gt;'Capsule Sizing'!$B$13,"Tight – test ("&amp;TEXT('Capsule Sizing'!$D$30/120,"0%")&amp;" full)","OK ("&amp;TEXT('Capsule Sizing'!$D$30/120,"0%")&amp;" full)")))</f>
        <v>Too small</v>
      </c>
      <c r="C10" s="21" t="str">
        <f aca="false">IF('Capsule Sizing'!$E$30/171&gt;1,"Too small",IF('Capsule Sizing'!$D$30/150&lt;'Capsule Sizing'!$B$12,"Looks &lt; half ("&amp;TEXT('Capsule Sizing'!$D$30/150,"0%")&amp;")",IF('Capsule Sizing'!$E$30/150&gt;'Capsule Sizing'!$B$13,"Tight – test ("&amp;TEXT('Capsule Sizing'!$D$30/150,"0%")&amp;" full)","OK ("&amp;TEXT('Capsule Sizing'!$D$30/150,"0%")&amp;" full)")))</f>
        <v>Tight – test (96% full)</v>
      </c>
      <c r="D10" s="21" t="str">
        <f aca="false">IF('Capsule Sizing'!$E$30/226&gt;1,"Too small",IF('Capsule Sizing'!$D$30/200&lt;'Capsule Sizing'!$B$12,"Looks &lt; half ("&amp;TEXT('Capsule Sizing'!$D$30/200,"0%")&amp;")",IF('Capsule Sizing'!$E$30/200&gt;'Capsule Sizing'!$B$13,"Tight – test ("&amp;TEXT('Capsule Sizing'!$D$30/200,"0%")&amp;" full)","OK ("&amp;TEXT('Capsule Sizing'!$D$30/200,"0%")&amp;" full)")))</f>
        <v>OK (72% full)</v>
      </c>
      <c r="E10" s="21" t="str">
        <f aca="false">IF('Capsule Sizing'!$E$30/275&gt;1,"Too small",IF('Capsule Sizing'!$D$30/250&lt;'Capsule Sizing'!$B$12,"Looks &lt; half ("&amp;TEXT('Capsule Sizing'!$D$30/250,"0%")&amp;")",IF('Capsule Sizing'!$E$30/250&gt;'Capsule Sizing'!$B$13,"Tight – test ("&amp;TEXT('Capsule Sizing'!$D$30/250,"0%")&amp;" full)","OK ("&amp;TEXT('Capsule Sizing'!$D$30/250,"0%")&amp;" full)")))</f>
        <v>OK (58% full)</v>
      </c>
      <c r="F10" s="37" t="s">
        <v>144</v>
      </c>
    </row>
    <row r="11" customFormat="false" ht="15" hidden="false" customHeight="false" outlineLevel="0" collapsed="false">
      <c r="A11" s="21" t="s">
        <v>145</v>
      </c>
      <c r="B11" s="21" t="str">
        <f aca="false">IF('Capsule Sizing'!$E$29/135&gt;1,"Too small",IF('Capsule Sizing'!$D$29/120&lt;'Capsule Sizing'!$B$12,"Looks &lt; half ("&amp;TEXT('Capsule Sizing'!$D$29/120,"0%")&amp;")",IF('Capsule Sizing'!$E$29/120&gt;'Capsule Sizing'!$B$13,"Tight – test ("&amp;TEXT('Capsule Sizing'!$D$29/120,"0%")&amp;" full)","OK ("&amp;TEXT('Capsule Sizing'!$D$29/120,"0%")&amp;" full)")))</f>
        <v>Too small</v>
      </c>
      <c r="C11" s="21" t="str">
        <f aca="false">IF('Capsule Sizing'!$E$29/171&gt;1,"Too small",IF('Capsule Sizing'!$D$29/150&lt;'Capsule Sizing'!$B$12,"Looks &lt; half ("&amp;TEXT('Capsule Sizing'!$D$29/150,"0%")&amp;")",IF('Capsule Sizing'!$E$29/150&gt;'Capsule Sizing'!$B$13,"Tight – test ("&amp;TEXT('Capsule Sizing'!$D$29/150,"0%")&amp;" full)","OK ("&amp;TEXT('Capsule Sizing'!$D$29/150,"0%")&amp;" full)")))</f>
        <v>Too small</v>
      </c>
      <c r="D11" s="21" t="str">
        <f aca="false">IF('Capsule Sizing'!$E$29/226&gt;1,"Too small",IF('Capsule Sizing'!$D$29/200&lt;'Capsule Sizing'!$B$12,"Looks &lt; half ("&amp;TEXT('Capsule Sizing'!$D$29/200,"0%")&amp;")",IF('Capsule Sizing'!$E$29/200&gt;'Capsule Sizing'!$B$13,"Tight – test ("&amp;TEXT('Capsule Sizing'!$D$29/200,"0%")&amp;" full)","OK ("&amp;TEXT('Capsule Sizing'!$D$29/200,"0%")&amp;" full)")))</f>
        <v>Tight – test (96% full)</v>
      </c>
      <c r="E11" s="21" t="str">
        <f aca="false">IF('Capsule Sizing'!$E$29/275&gt;1,"Too small",IF('Capsule Sizing'!$D$29/250&lt;'Capsule Sizing'!$B$12,"Looks &lt; half ("&amp;TEXT('Capsule Sizing'!$D$29/250,"0%")&amp;")",IF('Capsule Sizing'!$E$29/250&gt;'Capsule Sizing'!$B$13,"Tight – test ("&amp;TEXT('Capsule Sizing'!$D$29/250,"0%")&amp;" full)","OK ("&amp;TEXT('Capsule Sizing'!$D$29/250,"0%")&amp;" full)")))</f>
        <v>OK (77% full)</v>
      </c>
      <c r="F11" s="37" t="s">
        <v>144</v>
      </c>
    </row>
    <row r="12" customFormat="false" ht="15" hidden="false" customHeight="false" outlineLevel="0" collapsed="false">
      <c r="A12" s="2" t="s">
        <v>146</v>
      </c>
    </row>
    <row r="14" customFormat="false" ht="15" hidden="false" customHeight="false" outlineLevel="0" collapsed="false">
      <c r="A14" s="4" t="s">
        <v>147</v>
      </c>
      <c r="B14" s="4"/>
      <c r="C14" s="4"/>
      <c r="D14" s="4"/>
      <c r="E14" s="4"/>
      <c r="F14" s="4"/>
      <c r="G14" s="4"/>
      <c r="H14" s="4"/>
      <c r="I14" s="4"/>
      <c r="J14" s="4"/>
      <c r="K14" s="4"/>
      <c r="L14" s="4"/>
      <c r="M14" s="4"/>
      <c r="N14" s="4"/>
      <c r="O14" s="4"/>
      <c r="P14" s="4"/>
      <c r="Q14" s="4"/>
    </row>
    <row r="15" customFormat="false" ht="15" hidden="false" customHeight="false" outlineLevel="0" collapsed="false">
      <c r="A15" s="20" t="s">
        <v>148</v>
      </c>
      <c r="B15" s="20"/>
      <c r="C15" s="20"/>
      <c r="D15" s="20"/>
      <c r="E15" s="20"/>
      <c r="F15" s="20"/>
      <c r="G15" s="20"/>
      <c r="H15" s="20"/>
      <c r="I15" s="20"/>
      <c r="J15" s="20"/>
      <c r="K15" s="20"/>
      <c r="L15" s="20"/>
      <c r="M15" s="20"/>
      <c r="N15" s="20"/>
      <c r="O15" s="20"/>
      <c r="P15" s="20"/>
      <c r="Q15" s="20"/>
    </row>
    <row r="16" customFormat="false" ht="42" hidden="false" customHeight="true" outlineLevel="0" collapsed="false">
      <c r="A16" s="7" t="s">
        <v>149</v>
      </c>
      <c r="B16" s="7" t="s">
        <v>150</v>
      </c>
      <c r="C16" s="7" t="s">
        <v>18</v>
      </c>
      <c r="D16" s="7" t="s">
        <v>151</v>
      </c>
      <c r="E16" s="7" t="s">
        <v>20</v>
      </c>
      <c r="F16" s="7" t="s">
        <v>152</v>
      </c>
      <c r="G16" s="7" t="s">
        <v>153</v>
      </c>
      <c r="H16" s="7" t="s">
        <v>24</v>
      </c>
      <c r="I16" s="7" t="s">
        <v>154</v>
      </c>
      <c r="J16" s="7" t="s">
        <v>155</v>
      </c>
      <c r="K16" s="7" t="s">
        <v>156</v>
      </c>
      <c r="L16" s="7" t="s">
        <v>157</v>
      </c>
      <c r="M16" s="7" t="s">
        <v>158</v>
      </c>
      <c r="N16" s="7" t="s">
        <v>69</v>
      </c>
      <c r="O16" s="7" t="s">
        <v>70</v>
      </c>
      <c r="P16" s="7" t="s">
        <v>71</v>
      </c>
      <c r="Q16" s="7" t="s">
        <v>23</v>
      </c>
    </row>
    <row r="17" customFormat="false" ht="39.75" hidden="false" customHeight="true" outlineLevel="0" collapsed="false">
      <c r="A17" s="21" t="s">
        <v>73</v>
      </c>
      <c r="B17" s="6" t="s">
        <v>159</v>
      </c>
      <c r="C17" s="6" t="s">
        <v>160</v>
      </c>
      <c r="D17" s="37" t="s">
        <v>161</v>
      </c>
      <c r="E17" s="38" t="s">
        <v>38</v>
      </c>
      <c r="F17" s="23" t="n">
        <f aca="false">677.34/Inputs!$B$5</f>
        <v>0.33867</v>
      </c>
      <c r="G17" s="23" t="n">
        <f aca="false">261/Inputs!$B$5</f>
        <v>0.1305</v>
      </c>
      <c r="H17" s="39" t="n">
        <f aca="false">IF(E17="USD",Inputs!$B$10,1)</f>
        <v>1.424</v>
      </c>
      <c r="I17" s="24" t="n">
        <f aca="false">(F17+G17)*H17*(1+Inputs!$B$33)</f>
        <v>0.66809808</v>
      </c>
      <c r="J17" s="24" t="n">
        <v>0</v>
      </c>
      <c r="K17" s="24" t="n">
        <f aca="false">(Inputs!$B$18*Inputs!$B$10+Inputs!$B$19)/Inputs!$B$8</f>
        <v>0.366866666666667</v>
      </c>
      <c r="L17" s="25" t="n">
        <f aca="false">I17+J17+K17</f>
        <v>1.03496474666667</v>
      </c>
      <c r="M17" s="24" t="n">
        <f aca="false">L17</f>
        <v>1.03496474666667</v>
      </c>
      <c r="N17" s="26" t="n">
        <f aca="false">Inputs!$B$5</f>
        <v>2000</v>
      </c>
      <c r="O17" s="27" t="n">
        <f aca="false">L17*N17</f>
        <v>2069.92949333333</v>
      </c>
      <c r="P17" s="27" t="n">
        <f aca="false">M17*N17</f>
        <v>2069.92949333333</v>
      </c>
      <c r="Q17" s="11" t="s">
        <v>162</v>
      </c>
    </row>
    <row r="18" customFormat="false" ht="39.75" hidden="false" customHeight="true" outlineLevel="0" collapsed="false">
      <c r="A18" s="21" t="s">
        <v>75</v>
      </c>
      <c r="B18" s="6" t="s">
        <v>163</v>
      </c>
      <c r="C18" s="6" t="s">
        <v>164</v>
      </c>
      <c r="D18" s="37" t="s">
        <v>140</v>
      </c>
      <c r="E18" s="38" t="s">
        <v>38</v>
      </c>
      <c r="F18" s="40" t="n">
        <v>0.4167</v>
      </c>
      <c r="G18" s="23" t="n">
        <f aca="false">198.53/(Inputs!$B$6+Inputs!$B$7)</f>
        <v>0.19853</v>
      </c>
      <c r="H18" s="39" t="n">
        <f aca="false">IF(E18="USD",Inputs!$B$10,1)</f>
        <v>1.424</v>
      </c>
      <c r="I18" s="24" t="n">
        <f aca="false">(F18+G18)*H18*(1+Inputs!$B$33)</f>
        <v>0.87608752</v>
      </c>
      <c r="J18" s="24" t="n">
        <v>0</v>
      </c>
      <c r="K18" s="24" t="n">
        <f aca="false">(Inputs!$B$18*Inputs!$B$10+Inputs!$B$19)/Inputs!$B$8</f>
        <v>0.366866666666667</v>
      </c>
      <c r="L18" s="25" t="n">
        <f aca="false">I18+J18+K18</f>
        <v>1.24295418666667</v>
      </c>
      <c r="M18" s="24" t="n">
        <f aca="false">L18</f>
        <v>1.24295418666667</v>
      </c>
      <c r="N18" s="26" t="n">
        <f aca="false">Inputs!$B$6</f>
        <v>500</v>
      </c>
      <c r="O18" s="27" t="n">
        <f aca="false">L18*N18</f>
        <v>621.477093333333</v>
      </c>
      <c r="P18" s="27" t="n">
        <f aca="false">M18*N18</f>
        <v>621.477093333333</v>
      </c>
      <c r="Q18" s="11" t="s">
        <v>165</v>
      </c>
    </row>
    <row r="19" customFormat="false" ht="39.75" hidden="false" customHeight="true" outlineLevel="0" collapsed="false">
      <c r="A19" s="21" t="s">
        <v>166</v>
      </c>
      <c r="B19" s="6" t="s">
        <v>163</v>
      </c>
      <c r="C19" s="6" t="s">
        <v>167</v>
      </c>
      <c r="D19" s="37" t="s">
        <v>144</v>
      </c>
      <c r="E19" s="38" t="s">
        <v>38</v>
      </c>
      <c r="F19" s="40" t="n">
        <v>0.6117</v>
      </c>
      <c r="G19" s="23" t="n">
        <f aca="false">198.53/(Inputs!$B$6+Inputs!$B$7)</f>
        <v>0.19853</v>
      </c>
      <c r="H19" s="39" t="n">
        <f aca="false">IF(E19="USD",Inputs!$B$10,1)</f>
        <v>1.424</v>
      </c>
      <c r="I19" s="24" t="n">
        <f aca="false">(F19+G19)*H19*(1+Inputs!$B$33)</f>
        <v>1.15376752</v>
      </c>
      <c r="J19" s="24" t="n">
        <v>0</v>
      </c>
      <c r="K19" s="24" t="n">
        <f aca="false">(Inputs!$B$18*Inputs!$B$10+Inputs!$B$19)/Inputs!$B$8</f>
        <v>0.366866666666667</v>
      </c>
      <c r="L19" s="25" t="n">
        <f aca="false">I19+J19+K19</f>
        <v>1.52063418666667</v>
      </c>
      <c r="M19" s="24" t="n">
        <f aca="false">L19</f>
        <v>1.52063418666667</v>
      </c>
      <c r="N19" s="26" t="n">
        <f aca="false">Inputs!$B$7</f>
        <v>500</v>
      </c>
      <c r="O19" s="27" t="n">
        <f aca="false">L19*N19</f>
        <v>760.317093333333</v>
      </c>
      <c r="P19" s="27" t="n">
        <f aca="false">M19*N19</f>
        <v>760.317093333333</v>
      </c>
      <c r="Q19" s="11" t="s">
        <v>168</v>
      </c>
    </row>
    <row r="20" customFormat="false" ht="15" hidden="false" customHeight="false" outlineLevel="0" collapsed="false">
      <c r="A20" s="28" t="s">
        <v>169</v>
      </c>
      <c r="B20" s="29"/>
      <c r="C20" s="29"/>
      <c r="D20" s="29"/>
      <c r="E20" s="29"/>
      <c r="F20" s="29"/>
      <c r="G20" s="29"/>
      <c r="H20" s="29"/>
      <c r="I20" s="29"/>
      <c r="J20" s="29"/>
      <c r="K20" s="29"/>
      <c r="L20" s="25" t="n">
        <f aca="false">O20/Inputs!$B$8</f>
        <v>1.15057456</v>
      </c>
      <c r="M20" s="29"/>
      <c r="N20" s="29"/>
      <c r="O20" s="30" t="n">
        <f aca="false">SUM(O17:O19)</f>
        <v>3451.72368</v>
      </c>
      <c r="P20" s="30" t="n">
        <f aca="false">SUM(P17:P19)</f>
        <v>3451.72368</v>
      </c>
      <c r="Q20" s="29"/>
    </row>
    <row r="22" customFormat="false" ht="15" hidden="false" customHeight="false" outlineLevel="0" collapsed="false">
      <c r="A22" s="20" t="s">
        <v>170</v>
      </c>
      <c r="B22" s="20"/>
      <c r="C22" s="20"/>
      <c r="D22" s="20"/>
      <c r="E22" s="20"/>
      <c r="F22" s="20"/>
      <c r="G22" s="20"/>
      <c r="H22" s="20"/>
      <c r="I22" s="20"/>
      <c r="J22" s="20"/>
      <c r="K22" s="20"/>
      <c r="L22" s="20"/>
      <c r="M22" s="20"/>
      <c r="N22" s="20"/>
      <c r="O22" s="20"/>
      <c r="P22" s="20"/>
      <c r="Q22" s="20"/>
    </row>
    <row r="23" customFormat="false" ht="42" hidden="false" customHeight="true" outlineLevel="0" collapsed="false">
      <c r="A23" s="7" t="s">
        <v>149</v>
      </c>
      <c r="B23" s="7" t="s">
        <v>150</v>
      </c>
      <c r="C23" s="7" t="s">
        <v>18</v>
      </c>
      <c r="D23" s="7" t="s">
        <v>151</v>
      </c>
      <c r="E23" s="7" t="s">
        <v>20</v>
      </c>
      <c r="F23" s="7" t="s">
        <v>152</v>
      </c>
      <c r="G23" s="7" t="s">
        <v>153</v>
      </c>
      <c r="H23" s="7" t="s">
        <v>24</v>
      </c>
      <c r="I23" s="7" t="s">
        <v>154</v>
      </c>
      <c r="J23" s="7" t="s">
        <v>155</v>
      </c>
      <c r="K23" s="7" t="s">
        <v>156</v>
      </c>
      <c r="L23" s="7" t="s">
        <v>157</v>
      </c>
      <c r="M23" s="7" t="s">
        <v>158</v>
      </c>
      <c r="N23" s="7" t="s">
        <v>69</v>
      </c>
      <c r="O23" s="7" t="s">
        <v>70</v>
      </c>
      <c r="P23" s="7" t="s">
        <v>71</v>
      </c>
      <c r="Q23" s="7" t="s">
        <v>23</v>
      </c>
    </row>
    <row r="24" customFormat="false" ht="39.75" hidden="false" customHeight="true" outlineLevel="0" collapsed="false">
      <c r="A24" s="21" t="s">
        <v>73</v>
      </c>
      <c r="B24" s="6" t="s">
        <v>171</v>
      </c>
      <c r="C24" s="6" t="s">
        <v>172</v>
      </c>
      <c r="D24" s="37" t="s">
        <v>161</v>
      </c>
      <c r="E24" s="38" t="s">
        <v>38</v>
      </c>
      <c r="F24" s="40" t="n">
        <v>0.2</v>
      </c>
      <c r="G24" s="40" t="n">
        <v>0.04</v>
      </c>
      <c r="H24" s="39" t="n">
        <f aca="false">IF(E24="USD",Inputs!$B$10,1)</f>
        <v>1.424</v>
      </c>
      <c r="I24" s="24" t="n">
        <f aca="false">(F24+G24)*H24*(1+Inputs!$B$33)</f>
        <v>0.34176</v>
      </c>
      <c r="J24" s="24" t="n">
        <v>0</v>
      </c>
      <c r="K24" s="24" t="n">
        <f aca="false">(Inputs!$B$28+Inputs!$B$30)/(Inputs!$B$5+Inputs!$B$6)</f>
        <v>0.664</v>
      </c>
      <c r="L24" s="25" t="n">
        <f aca="false">I24+J24+K24</f>
        <v>1.00576</v>
      </c>
      <c r="M24" s="24" t="n">
        <f aca="false">L24</f>
        <v>1.00576</v>
      </c>
      <c r="N24" s="26" t="n">
        <f aca="false">Inputs!$B$5</f>
        <v>2000</v>
      </c>
      <c r="O24" s="27" t="n">
        <f aca="false">L24*N24</f>
        <v>2011.52</v>
      </c>
      <c r="P24" s="27" t="n">
        <f aca="false">M24*N24</f>
        <v>2011.52</v>
      </c>
      <c r="Q24" s="11" t="s">
        <v>173</v>
      </c>
    </row>
    <row r="25" customFormat="false" ht="39.75" hidden="false" customHeight="true" outlineLevel="0" collapsed="false">
      <c r="A25" s="21" t="s">
        <v>75</v>
      </c>
      <c r="B25" s="6" t="s">
        <v>171</v>
      </c>
      <c r="C25" s="6" t="s">
        <v>174</v>
      </c>
      <c r="D25" s="37" t="s">
        <v>140</v>
      </c>
      <c r="E25" s="38" t="s">
        <v>38</v>
      </c>
      <c r="F25" s="40" t="n">
        <v>0.2</v>
      </c>
      <c r="G25" s="40" t="n">
        <v>0.04</v>
      </c>
      <c r="H25" s="39" t="n">
        <f aca="false">IF(E25="USD",Inputs!$B$10,1)</f>
        <v>1.424</v>
      </c>
      <c r="I25" s="24" t="n">
        <f aca="false">(F25+G25)*H25*(1+Inputs!$B$33)</f>
        <v>0.34176</v>
      </c>
      <c r="J25" s="24" t="n">
        <v>0</v>
      </c>
      <c r="K25" s="24" t="n">
        <f aca="false">(Inputs!$B$28+Inputs!$B$30)/(Inputs!$B$5+Inputs!$B$6)</f>
        <v>0.664</v>
      </c>
      <c r="L25" s="25" t="n">
        <f aca="false">I25+J25+K25</f>
        <v>1.00576</v>
      </c>
      <c r="M25" s="24" t="n">
        <f aca="false">L25</f>
        <v>1.00576</v>
      </c>
      <c r="N25" s="26" t="n">
        <f aca="false">Inputs!$B$6</f>
        <v>500</v>
      </c>
      <c r="O25" s="27" t="n">
        <f aca="false">L25*N25</f>
        <v>502.88</v>
      </c>
      <c r="P25" s="27" t="n">
        <f aca="false">M25*N25</f>
        <v>502.88</v>
      </c>
      <c r="Q25" s="11" t="s">
        <v>175</v>
      </c>
    </row>
    <row r="26" customFormat="false" ht="39.75" hidden="false" customHeight="true" outlineLevel="0" collapsed="false">
      <c r="A26" s="21" t="s">
        <v>166</v>
      </c>
      <c r="B26" s="6" t="s">
        <v>163</v>
      </c>
      <c r="C26" s="6" t="s">
        <v>176</v>
      </c>
      <c r="D26" s="37" t="s">
        <v>144</v>
      </c>
      <c r="E26" s="38" t="s">
        <v>38</v>
      </c>
      <c r="F26" s="40" t="n">
        <v>0.6117</v>
      </c>
      <c r="G26" s="40" t="n">
        <v>0.2</v>
      </c>
      <c r="H26" s="39" t="n">
        <f aca="false">IF(E26="USD",Inputs!$B$10,1)</f>
        <v>1.424</v>
      </c>
      <c r="I26" s="24" t="n">
        <f aca="false">(F26+G26)*H26*(1+Inputs!$B$33)</f>
        <v>1.1558608</v>
      </c>
      <c r="J26" s="24" t="n">
        <v>0</v>
      </c>
      <c r="K26" s="24" t="n">
        <f aca="false">(Inputs!$B$24*Inputs!$B$10+Inputs!$B$25)/Inputs!$B$7</f>
        <v>1.3892</v>
      </c>
      <c r="L26" s="25" t="n">
        <f aca="false">I26+J26+K26</f>
        <v>2.5450608</v>
      </c>
      <c r="M26" s="24" t="n">
        <f aca="false">L26</f>
        <v>2.5450608</v>
      </c>
      <c r="N26" s="26" t="n">
        <f aca="false">Inputs!$B$7</f>
        <v>500</v>
      </c>
      <c r="O26" s="27" t="n">
        <f aca="false">L26*N26</f>
        <v>1272.5304</v>
      </c>
      <c r="P26" s="27" t="n">
        <f aca="false">M26*N26</f>
        <v>1272.5304</v>
      </c>
      <c r="Q26" s="11" t="s">
        <v>177</v>
      </c>
    </row>
    <row r="27" customFormat="false" ht="15" hidden="false" customHeight="false" outlineLevel="0" collapsed="false">
      <c r="A27" s="28" t="s">
        <v>169</v>
      </c>
      <c r="B27" s="29"/>
      <c r="C27" s="29"/>
      <c r="D27" s="29"/>
      <c r="E27" s="29"/>
      <c r="F27" s="29"/>
      <c r="G27" s="29"/>
      <c r="H27" s="29"/>
      <c r="I27" s="29"/>
      <c r="J27" s="29"/>
      <c r="K27" s="29"/>
      <c r="L27" s="25" t="n">
        <f aca="false">O27/Inputs!$B$8</f>
        <v>1.26231013333333</v>
      </c>
      <c r="M27" s="29"/>
      <c r="N27" s="29"/>
      <c r="O27" s="30" t="n">
        <f aca="false">SUM(O24:O26)</f>
        <v>3786.9304</v>
      </c>
      <c r="P27" s="30" t="n">
        <f aca="false">SUM(P24:P26)</f>
        <v>3786.9304</v>
      </c>
      <c r="Q27" s="29"/>
    </row>
    <row r="29" customFormat="false" ht="15" hidden="false" customHeight="false" outlineLevel="0" collapsed="false">
      <c r="A29" s="20" t="s">
        <v>178</v>
      </c>
      <c r="B29" s="20"/>
      <c r="C29" s="20"/>
      <c r="D29" s="20"/>
      <c r="E29" s="20"/>
      <c r="F29" s="20"/>
      <c r="G29" s="20"/>
      <c r="H29" s="20"/>
      <c r="I29" s="20"/>
      <c r="J29" s="20"/>
      <c r="K29" s="20"/>
      <c r="L29" s="20"/>
      <c r="M29" s="20"/>
      <c r="N29" s="20"/>
      <c r="O29" s="20"/>
      <c r="P29" s="20"/>
      <c r="Q29" s="20"/>
    </row>
    <row r="30" customFormat="false" ht="42" hidden="false" customHeight="true" outlineLevel="0" collapsed="false">
      <c r="A30" s="7" t="s">
        <v>149</v>
      </c>
      <c r="B30" s="7" t="s">
        <v>150</v>
      </c>
      <c r="C30" s="7" t="s">
        <v>18</v>
      </c>
      <c r="D30" s="7" t="s">
        <v>151</v>
      </c>
      <c r="E30" s="7" t="s">
        <v>20</v>
      </c>
      <c r="F30" s="7" t="s">
        <v>152</v>
      </c>
      <c r="G30" s="7" t="s">
        <v>153</v>
      </c>
      <c r="H30" s="7" t="s">
        <v>24</v>
      </c>
      <c r="I30" s="7" t="s">
        <v>154</v>
      </c>
      <c r="J30" s="7" t="s">
        <v>155</v>
      </c>
      <c r="K30" s="7" t="s">
        <v>156</v>
      </c>
      <c r="L30" s="7" t="s">
        <v>157</v>
      </c>
      <c r="M30" s="7" t="s">
        <v>158</v>
      </c>
      <c r="N30" s="7" t="s">
        <v>69</v>
      </c>
      <c r="O30" s="7" t="s">
        <v>70</v>
      </c>
      <c r="P30" s="7" t="s">
        <v>71</v>
      </c>
      <c r="Q30" s="7" t="s">
        <v>23</v>
      </c>
    </row>
    <row r="31" customFormat="false" ht="39.75" hidden="false" customHeight="true" outlineLevel="0" collapsed="false">
      <c r="A31" s="21" t="s">
        <v>73</v>
      </c>
      <c r="B31" s="6" t="s">
        <v>179</v>
      </c>
      <c r="C31" s="6" t="s">
        <v>180</v>
      </c>
      <c r="D31" s="37" t="s">
        <v>161</v>
      </c>
      <c r="E31" s="38" t="s">
        <v>38</v>
      </c>
      <c r="F31" s="40" t="n">
        <v>0.3</v>
      </c>
      <c r="G31" s="40" t="n">
        <v>0.04</v>
      </c>
      <c r="H31" s="39" t="n">
        <f aca="false">IF(E31="USD",Inputs!$B$10,1)</f>
        <v>1.424</v>
      </c>
      <c r="I31" s="24" t="n">
        <f aca="false">(F31+G31)*H31*(1+Inputs!$B$33)</f>
        <v>0.48416</v>
      </c>
      <c r="J31" s="24" t="n">
        <v>0</v>
      </c>
      <c r="K31" s="24" t="n">
        <f aca="false">(Inputs!$B$28+Inputs!$B$30)/(Inputs!$B$5+Inputs!$B$6)</f>
        <v>0.664</v>
      </c>
      <c r="L31" s="25" t="n">
        <f aca="false">I31+J31+K31</f>
        <v>1.14816</v>
      </c>
      <c r="M31" s="24" t="n">
        <f aca="false">L31</f>
        <v>1.14816</v>
      </c>
      <c r="N31" s="26" t="n">
        <f aca="false">Inputs!$B$5</f>
        <v>2000</v>
      </c>
      <c r="O31" s="27" t="n">
        <f aca="false">L31*N31</f>
        <v>2296.32</v>
      </c>
      <c r="P31" s="27" t="n">
        <f aca="false">M31*N31</f>
        <v>2296.32</v>
      </c>
      <c r="Q31" s="11" t="s">
        <v>181</v>
      </c>
    </row>
    <row r="32" customFormat="false" ht="39.75" hidden="false" customHeight="true" outlineLevel="0" collapsed="false">
      <c r="A32" s="21" t="s">
        <v>75</v>
      </c>
      <c r="B32" s="6" t="s">
        <v>179</v>
      </c>
      <c r="C32" s="6" t="s">
        <v>182</v>
      </c>
      <c r="D32" s="37" t="s">
        <v>140</v>
      </c>
      <c r="E32" s="38" t="s">
        <v>38</v>
      </c>
      <c r="F32" s="40" t="n">
        <v>0.3</v>
      </c>
      <c r="G32" s="40" t="n">
        <v>0.04</v>
      </c>
      <c r="H32" s="39" t="n">
        <f aca="false">IF(E32="USD",Inputs!$B$10,1)</f>
        <v>1.424</v>
      </c>
      <c r="I32" s="24" t="n">
        <f aca="false">(F32+G32)*H32*(1+Inputs!$B$33)</f>
        <v>0.48416</v>
      </c>
      <c r="J32" s="24" t="n">
        <v>0</v>
      </c>
      <c r="K32" s="24" t="n">
        <f aca="false">(Inputs!$B$28+Inputs!$B$30)/(Inputs!$B$5+Inputs!$B$6)</f>
        <v>0.664</v>
      </c>
      <c r="L32" s="25" t="n">
        <f aca="false">I32+J32+K32</f>
        <v>1.14816</v>
      </c>
      <c r="M32" s="24" t="n">
        <f aca="false">L32</f>
        <v>1.14816</v>
      </c>
      <c r="N32" s="26" t="n">
        <f aca="false">Inputs!$B$6</f>
        <v>500</v>
      </c>
      <c r="O32" s="27" t="n">
        <f aca="false">L32*N32</f>
        <v>574.08</v>
      </c>
      <c r="P32" s="27" t="n">
        <f aca="false">M32*N32</f>
        <v>574.08</v>
      </c>
      <c r="Q32" s="11" t="s">
        <v>183</v>
      </c>
    </row>
    <row r="33" customFormat="false" ht="39.75" hidden="false" customHeight="true" outlineLevel="0" collapsed="false">
      <c r="A33" s="21" t="s">
        <v>166</v>
      </c>
      <c r="B33" s="6" t="s">
        <v>179</v>
      </c>
      <c r="C33" s="6" t="s">
        <v>184</v>
      </c>
      <c r="D33" s="37" t="s">
        <v>144</v>
      </c>
      <c r="E33" s="38" t="s">
        <v>38</v>
      </c>
      <c r="F33" s="40" t="n">
        <v>0.3</v>
      </c>
      <c r="G33" s="40" t="n">
        <v>0.04</v>
      </c>
      <c r="H33" s="39" t="n">
        <f aca="false">IF(E33="USD",Inputs!$B$10,1)</f>
        <v>1.424</v>
      </c>
      <c r="I33" s="24" t="n">
        <f aca="false">(F33+G33)*H33*(1+Inputs!$B$33)</f>
        <v>0.48416</v>
      </c>
      <c r="J33" s="24" t="n">
        <v>0</v>
      </c>
      <c r="K33" s="24" t="n">
        <f aca="false">Inputs!$B$29/Inputs!$B$7</f>
        <v>1.74</v>
      </c>
      <c r="L33" s="25" t="n">
        <f aca="false">I33+J33+K33</f>
        <v>2.22416</v>
      </c>
      <c r="M33" s="24" t="n">
        <f aca="false">L33</f>
        <v>2.22416</v>
      </c>
      <c r="N33" s="26" t="n">
        <f aca="false">Inputs!$B$7</f>
        <v>500</v>
      </c>
      <c r="O33" s="27" t="n">
        <f aca="false">L33*N33</f>
        <v>1112.08</v>
      </c>
      <c r="P33" s="27" t="n">
        <f aca="false">M33*N33</f>
        <v>1112.08</v>
      </c>
      <c r="Q33" s="11" t="s">
        <v>185</v>
      </c>
    </row>
    <row r="34" customFormat="false" ht="15" hidden="false" customHeight="false" outlineLevel="0" collapsed="false">
      <c r="A34" s="28" t="s">
        <v>169</v>
      </c>
      <c r="B34" s="29"/>
      <c r="C34" s="29"/>
      <c r="D34" s="29"/>
      <c r="E34" s="29"/>
      <c r="F34" s="29"/>
      <c r="G34" s="29"/>
      <c r="H34" s="29"/>
      <c r="I34" s="29"/>
      <c r="J34" s="29"/>
      <c r="K34" s="29"/>
      <c r="L34" s="25" t="n">
        <f aca="false">O34/Inputs!$B$8</f>
        <v>1.32749333333333</v>
      </c>
      <c r="M34" s="29"/>
      <c r="N34" s="29"/>
      <c r="O34" s="30" t="n">
        <f aca="false">SUM(O31:O33)</f>
        <v>3982.48</v>
      </c>
      <c r="P34" s="30" t="n">
        <f aca="false">SUM(P31:P33)</f>
        <v>3982.48</v>
      </c>
      <c r="Q34" s="29"/>
    </row>
    <row r="36" customFormat="false" ht="15" hidden="false" customHeight="false" outlineLevel="0" collapsed="false">
      <c r="A36" s="20" t="s">
        <v>186</v>
      </c>
      <c r="B36" s="20"/>
      <c r="C36" s="20"/>
      <c r="D36" s="20"/>
      <c r="E36" s="20"/>
      <c r="F36" s="20"/>
      <c r="G36" s="20"/>
      <c r="H36" s="20"/>
      <c r="I36" s="20"/>
      <c r="J36" s="20"/>
      <c r="K36" s="20"/>
      <c r="L36" s="20"/>
      <c r="M36" s="20"/>
      <c r="N36" s="20"/>
      <c r="O36" s="20"/>
      <c r="P36" s="20"/>
      <c r="Q36" s="20"/>
    </row>
    <row r="37" customFormat="false" ht="42" hidden="false" customHeight="true" outlineLevel="0" collapsed="false">
      <c r="A37" s="7" t="s">
        <v>149</v>
      </c>
      <c r="B37" s="7" t="s">
        <v>150</v>
      </c>
      <c r="C37" s="7" t="s">
        <v>18</v>
      </c>
      <c r="D37" s="7" t="s">
        <v>151</v>
      </c>
      <c r="E37" s="7" t="s">
        <v>20</v>
      </c>
      <c r="F37" s="7" t="s">
        <v>152</v>
      </c>
      <c r="G37" s="7" t="s">
        <v>153</v>
      </c>
      <c r="H37" s="7" t="s">
        <v>24</v>
      </c>
      <c r="I37" s="7" t="s">
        <v>154</v>
      </c>
      <c r="J37" s="7" t="s">
        <v>155</v>
      </c>
      <c r="K37" s="7" t="s">
        <v>156</v>
      </c>
      <c r="L37" s="7" t="s">
        <v>157</v>
      </c>
      <c r="M37" s="7" t="s">
        <v>158</v>
      </c>
      <c r="N37" s="7" t="s">
        <v>69</v>
      </c>
      <c r="O37" s="7" t="s">
        <v>70</v>
      </c>
      <c r="P37" s="7" t="s">
        <v>71</v>
      </c>
      <c r="Q37" s="7" t="s">
        <v>23</v>
      </c>
    </row>
    <row r="38" customFormat="false" ht="39.75" hidden="false" customHeight="true" outlineLevel="0" collapsed="false">
      <c r="A38" s="21" t="s">
        <v>73</v>
      </c>
      <c r="B38" s="6" t="s">
        <v>179</v>
      </c>
      <c r="C38" s="6" t="s">
        <v>180</v>
      </c>
      <c r="D38" s="37" t="s">
        <v>161</v>
      </c>
      <c r="E38" s="38" t="s">
        <v>38</v>
      </c>
      <c r="F38" s="40" t="n">
        <v>0.3</v>
      </c>
      <c r="G38" s="40" t="n">
        <v>0.04</v>
      </c>
      <c r="H38" s="39" t="n">
        <f aca="false">IF(E38="USD",Inputs!$B$10,1)</f>
        <v>1.424</v>
      </c>
      <c r="I38" s="24" t="n">
        <f aca="false">(F38+G38)*H38*(1+Inputs!$B$33)</f>
        <v>0.48416</v>
      </c>
      <c r="J38" s="24" t="n">
        <v>0</v>
      </c>
      <c r="K38" s="24" t="n">
        <f aca="false">(Inputs!$B$28+Inputs!$B$30)/(Inputs!$B$5+Inputs!$B$6)</f>
        <v>0.664</v>
      </c>
      <c r="L38" s="25" t="n">
        <f aca="false">I38+J38+K38</f>
        <v>1.14816</v>
      </c>
      <c r="M38" s="24" t="n">
        <f aca="false">L38</f>
        <v>1.14816</v>
      </c>
      <c r="N38" s="26" t="n">
        <f aca="false">Inputs!$B$5</f>
        <v>2000</v>
      </c>
      <c r="O38" s="27" t="n">
        <f aca="false">L38*N38</f>
        <v>2296.32</v>
      </c>
      <c r="P38" s="27" t="n">
        <f aca="false">M38*N38</f>
        <v>2296.32</v>
      </c>
      <c r="Q38" s="11" t="s">
        <v>187</v>
      </c>
    </row>
    <row r="39" customFormat="false" ht="39.75" hidden="false" customHeight="true" outlineLevel="0" collapsed="false">
      <c r="A39" s="21" t="s">
        <v>75</v>
      </c>
      <c r="B39" s="6" t="s">
        <v>179</v>
      </c>
      <c r="C39" s="6" t="s">
        <v>182</v>
      </c>
      <c r="D39" s="37" t="s">
        <v>140</v>
      </c>
      <c r="E39" s="38" t="s">
        <v>38</v>
      </c>
      <c r="F39" s="40" t="n">
        <v>0.3</v>
      </c>
      <c r="G39" s="40" t="n">
        <v>0.04</v>
      </c>
      <c r="H39" s="39" t="n">
        <f aca="false">IF(E39="USD",Inputs!$B$10,1)</f>
        <v>1.424</v>
      </c>
      <c r="I39" s="24" t="n">
        <f aca="false">(F39+G39)*H39*(1+Inputs!$B$33)</f>
        <v>0.48416</v>
      </c>
      <c r="J39" s="24" t="n">
        <v>0</v>
      </c>
      <c r="K39" s="24" t="n">
        <f aca="false">(Inputs!$B$28+Inputs!$B$30)/(Inputs!$B$5+Inputs!$B$6)</f>
        <v>0.664</v>
      </c>
      <c r="L39" s="25" t="n">
        <f aca="false">I39+J39+K39</f>
        <v>1.14816</v>
      </c>
      <c r="M39" s="24" t="n">
        <f aca="false">L39</f>
        <v>1.14816</v>
      </c>
      <c r="N39" s="26" t="n">
        <f aca="false">Inputs!$B$6</f>
        <v>500</v>
      </c>
      <c r="O39" s="27" t="n">
        <f aca="false">L39*N39</f>
        <v>574.08</v>
      </c>
      <c r="P39" s="27" t="n">
        <f aca="false">M39*N39</f>
        <v>574.08</v>
      </c>
      <c r="Q39" s="11" t="s">
        <v>187</v>
      </c>
    </row>
    <row r="40" customFormat="false" ht="39.75" hidden="false" customHeight="true" outlineLevel="0" collapsed="false">
      <c r="A40" s="21" t="s">
        <v>166</v>
      </c>
      <c r="B40" s="6" t="s">
        <v>188</v>
      </c>
      <c r="C40" s="6" t="s">
        <v>176</v>
      </c>
      <c r="D40" s="37" t="s">
        <v>144</v>
      </c>
      <c r="E40" s="38" t="s">
        <v>38</v>
      </c>
      <c r="F40" s="40" t="n">
        <v>0.6117</v>
      </c>
      <c r="G40" s="40" t="n">
        <v>0.2</v>
      </c>
      <c r="H40" s="39" t="n">
        <f aca="false">IF(E40="USD",Inputs!$B$10,1)</f>
        <v>1.424</v>
      </c>
      <c r="I40" s="24" t="n">
        <f aca="false">(F40+G40)*H40*(1+Inputs!$B$33)</f>
        <v>1.1558608</v>
      </c>
      <c r="J40" s="24" t="n">
        <f aca="false">Inputs!$B$37+(Inputs!$B$38+Inputs!$B$39)/Inputs!$B$7</f>
        <v>2.35</v>
      </c>
      <c r="K40" s="24" t="n">
        <f aca="false">(Inputs!$B$24*Inputs!$B$10+Inputs!$B$25)/Inputs!$B$7</f>
        <v>1.3892</v>
      </c>
      <c r="L40" s="25" t="n">
        <f aca="false">I40+J40+K40</f>
        <v>4.8950608</v>
      </c>
      <c r="M40" s="24" t="n">
        <f aca="false">L40</f>
        <v>4.8950608</v>
      </c>
      <c r="N40" s="26" t="n">
        <f aca="false">Inputs!$B$7</f>
        <v>500</v>
      </c>
      <c r="O40" s="27" t="n">
        <f aca="false">L40*N40</f>
        <v>2447.5304</v>
      </c>
      <c r="P40" s="27" t="n">
        <f aca="false">M40*N40</f>
        <v>2447.5304</v>
      </c>
      <c r="Q40" s="11" t="s">
        <v>189</v>
      </c>
    </row>
    <row r="41" customFormat="false" ht="15" hidden="false" customHeight="false" outlineLevel="0" collapsed="false">
      <c r="A41" s="28" t="s">
        <v>169</v>
      </c>
      <c r="B41" s="29"/>
      <c r="C41" s="29"/>
      <c r="D41" s="29"/>
      <c r="E41" s="29"/>
      <c r="F41" s="29"/>
      <c r="G41" s="29"/>
      <c r="H41" s="29"/>
      <c r="I41" s="29"/>
      <c r="J41" s="29"/>
      <c r="K41" s="29"/>
      <c r="L41" s="25" t="n">
        <f aca="false">O41/Inputs!$B$8</f>
        <v>1.77264346666667</v>
      </c>
      <c r="M41" s="29"/>
      <c r="N41" s="29"/>
      <c r="O41" s="30" t="n">
        <f aca="false">SUM(O38:O40)</f>
        <v>5317.9304</v>
      </c>
      <c r="P41" s="30" t="n">
        <f aca="false">SUM(P38:P40)</f>
        <v>5317.9304</v>
      </c>
      <c r="Q41" s="29"/>
    </row>
    <row r="43" customFormat="false" ht="15" hidden="false" customHeight="false" outlineLevel="0" collapsed="false">
      <c r="A43" s="20" t="s">
        <v>190</v>
      </c>
      <c r="B43" s="20"/>
      <c r="C43" s="20"/>
      <c r="D43" s="20"/>
      <c r="E43" s="20"/>
      <c r="F43" s="20"/>
      <c r="G43" s="20"/>
      <c r="H43" s="20"/>
      <c r="I43" s="20"/>
      <c r="J43" s="20"/>
      <c r="K43" s="20"/>
      <c r="L43" s="20"/>
      <c r="M43" s="20"/>
      <c r="N43" s="20"/>
      <c r="O43" s="20"/>
      <c r="P43" s="20"/>
      <c r="Q43" s="20"/>
    </row>
    <row r="44" customFormat="false" ht="42" hidden="false" customHeight="true" outlineLevel="0" collapsed="false">
      <c r="A44" s="7" t="s">
        <v>149</v>
      </c>
      <c r="B44" s="7" t="s">
        <v>150</v>
      </c>
      <c r="C44" s="7" t="s">
        <v>18</v>
      </c>
      <c r="D44" s="7" t="s">
        <v>151</v>
      </c>
      <c r="E44" s="7" t="s">
        <v>20</v>
      </c>
      <c r="F44" s="7" t="s">
        <v>152</v>
      </c>
      <c r="G44" s="7" t="s">
        <v>153</v>
      </c>
      <c r="H44" s="7" t="s">
        <v>24</v>
      </c>
      <c r="I44" s="7" t="s">
        <v>154</v>
      </c>
      <c r="J44" s="7" t="s">
        <v>155</v>
      </c>
      <c r="K44" s="7" t="s">
        <v>156</v>
      </c>
      <c r="L44" s="7" t="s">
        <v>157</v>
      </c>
      <c r="M44" s="7" t="s">
        <v>158</v>
      </c>
      <c r="N44" s="7" t="s">
        <v>69</v>
      </c>
      <c r="O44" s="7" t="s">
        <v>70</v>
      </c>
      <c r="P44" s="7" t="s">
        <v>71</v>
      </c>
      <c r="Q44" s="7" t="s">
        <v>23</v>
      </c>
    </row>
    <row r="45" customFormat="false" ht="39.75" hidden="false" customHeight="true" outlineLevel="0" collapsed="false">
      <c r="A45" s="21" t="s">
        <v>166</v>
      </c>
      <c r="B45" s="6" t="s">
        <v>191</v>
      </c>
      <c r="C45" s="6" t="s">
        <v>192</v>
      </c>
      <c r="D45" s="37" t="s">
        <v>193</v>
      </c>
      <c r="E45" s="38" t="s">
        <v>38</v>
      </c>
      <c r="F45" s="23" t="n">
        <f aca="false">'Frosted Finish – Top 3'!I9</f>
        <v>0.55</v>
      </c>
      <c r="G45" s="23" t="n">
        <f aca="false">'Frosted Finish – Top 3'!K9</f>
        <v>0.07</v>
      </c>
      <c r="H45" s="39" t="n">
        <f aca="false">IF(E45="USD",Inputs!$B$10,1)</f>
        <v>1.424</v>
      </c>
      <c r="I45" s="24" t="n">
        <f aca="false">(F45+G45)*H45*(1+Inputs!$B$33)</f>
        <v>0.88288</v>
      </c>
      <c r="J45" s="24" t="n">
        <v>0</v>
      </c>
      <c r="K45" s="24" t="n">
        <f aca="false">Inputs!$B$29/Inputs!$B$7</f>
        <v>1.74</v>
      </c>
      <c r="L45" s="25" t="n">
        <f aca="false">I45+J45+K45</f>
        <v>2.62288</v>
      </c>
      <c r="M45" s="24" t="n">
        <f aca="false">L45</f>
        <v>2.62288</v>
      </c>
      <c r="N45" s="26" t="n">
        <f aca="false">Inputs!$B$7</f>
        <v>500</v>
      </c>
      <c r="O45" s="27" t="n">
        <f aca="false">L45*N45</f>
        <v>1311.44</v>
      </c>
      <c r="P45" s="27" t="n">
        <f aca="false">M45*N45</f>
        <v>1311.44</v>
      </c>
      <c r="Q45" s="11" t="s">
        <v>194</v>
      </c>
    </row>
    <row r="46" customFormat="false" ht="15" hidden="false" customHeight="false" outlineLevel="0" collapsed="false">
      <c r="A46" s="28" t="s">
        <v>169</v>
      </c>
      <c r="B46" s="29"/>
      <c r="C46" s="29"/>
      <c r="D46" s="29"/>
      <c r="E46" s="29"/>
      <c r="F46" s="29"/>
      <c r="G46" s="29"/>
      <c r="H46" s="29"/>
      <c r="I46" s="29"/>
      <c r="J46" s="29"/>
      <c r="K46" s="29"/>
      <c r="L46" s="29"/>
      <c r="M46" s="29"/>
      <c r="N46" s="29"/>
      <c r="O46" s="30" t="n">
        <f aca="false">SUM(O45:O45)</f>
        <v>1311.44</v>
      </c>
      <c r="P46" s="30" t="n">
        <f aca="false">SUM(P45:P45)</f>
        <v>1311.44</v>
      </c>
      <c r="Q46" s="29"/>
    </row>
    <row r="48" customFormat="false" ht="15" hidden="false" customHeight="false" outlineLevel="0" collapsed="false">
      <c r="A48" s="4" t="s">
        <v>195</v>
      </c>
      <c r="B48" s="4"/>
      <c r="C48" s="4"/>
      <c r="D48" s="4"/>
      <c r="E48" s="4"/>
      <c r="F48" s="4"/>
      <c r="G48" s="4"/>
      <c r="H48" s="4"/>
      <c r="I48" s="4"/>
      <c r="J48" s="4"/>
      <c r="K48" s="4"/>
      <c r="L48" s="4"/>
      <c r="M48" s="4"/>
      <c r="N48" s="4"/>
      <c r="O48" s="4"/>
      <c r="P48" s="4"/>
      <c r="Q48" s="4"/>
    </row>
    <row r="49" customFormat="false" ht="30" hidden="false" customHeight="true" outlineLevel="0" collapsed="false">
      <c r="A49" s="7" t="s">
        <v>12</v>
      </c>
      <c r="B49" s="7" t="s">
        <v>196</v>
      </c>
      <c r="C49" s="7" t="s">
        <v>197</v>
      </c>
      <c r="D49" s="7"/>
      <c r="E49" s="7" t="s">
        <v>70</v>
      </c>
      <c r="F49" s="7" t="s">
        <v>198</v>
      </c>
      <c r="G49" s="7" t="s">
        <v>199</v>
      </c>
      <c r="H49" s="7" t="s">
        <v>200</v>
      </c>
    </row>
    <row r="50" customFormat="false" ht="15" hidden="false" customHeight="false" outlineLevel="0" collapsed="false">
      <c r="A50" s="37" t="s">
        <v>201</v>
      </c>
      <c r="B50" s="37" t="s">
        <v>202</v>
      </c>
      <c r="C50" s="21" t="s">
        <v>203</v>
      </c>
      <c r="D50" s="21"/>
      <c r="E50" s="30" t="n">
        <f aca="false">MIN('Final Recommendation'!D52,'Final Recommendation'!D53)</f>
        <v>4411.82373333333</v>
      </c>
      <c r="F50" s="27" t="n">
        <f aca="false">MIN('Final Recommendation'!E52,'Final Recommendation'!E53)</f>
        <v>4697.12</v>
      </c>
      <c r="G50" s="24" t="n">
        <f aca="false">E50/Inputs!$B$8</f>
        <v>1.47060791111111</v>
      </c>
      <c r="H50" s="29"/>
    </row>
    <row r="51" customFormat="false" ht="15" hidden="false" customHeight="false" outlineLevel="0" collapsed="false">
      <c r="A51" s="37" t="s">
        <v>201</v>
      </c>
      <c r="B51" s="37" t="s">
        <v>204</v>
      </c>
      <c r="C51" s="21" t="s">
        <v>205</v>
      </c>
      <c r="D51" s="21"/>
      <c r="E51" s="30" t="n">
        <f aca="false">MIN(O20,O27)</f>
        <v>3451.72368</v>
      </c>
      <c r="F51" s="27" t="n">
        <f aca="false">MIN(P20,P27)</f>
        <v>3451.72368</v>
      </c>
      <c r="G51" s="24" t="n">
        <f aca="false">E51/Inputs!$B$8</f>
        <v>1.15057456</v>
      </c>
      <c r="H51" s="32" t="n">
        <f aca="false">E50-E51</f>
        <v>960.100053333334</v>
      </c>
    </row>
    <row r="52" customFormat="false" ht="15" hidden="false" customHeight="false" outlineLevel="0" collapsed="false">
      <c r="A52" s="37" t="s">
        <v>206</v>
      </c>
      <c r="B52" s="37" t="s">
        <v>202</v>
      </c>
      <c r="C52" s="21" t="s">
        <v>207</v>
      </c>
      <c r="D52" s="21"/>
      <c r="E52" s="30" t="n">
        <f aca="false">MIN('Final Recommendation'!D56,'Final Recommendation'!M43+O46)</f>
        <v>4957.92</v>
      </c>
      <c r="F52" s="27" t="n">
        <f aca="false">MIN('Final Recommendation'!E56,'Final Recommendation'!N43+P46)</f>
        <v>4957.92</v>
      </c>
      <c r="G52" s="24" t="n">
        <f aca="false">E52/Inputs!$B$8</f>
        <v>1.65264</v>
      </c>
      <c r="H52" s="29"/>
    </row>
    <row r="53" customFormat="false" ht="15" hidden="false" customHeight="false" outlineLevel="0" collapsed="false">
      <c r="A53" s="37" t="s">
        <v>206</v>
      </c>
      <c r="B53" s="37" t="s">
        <v>204</v>
      </c>
      <c r="C53" s="21" t="s">
        <v>208</v>
      </c>
      <c r="D53" s="21"/>
      <c r="E53" s="30" t="n">
        <f aca="false">MIN(O34,O41)</f>
        <v>3982.48</v>
      </c>
      <c r="F53" s="27" t="n">
        <f aca="false">MIN(P34,P41)</f>
        <v>3982.48</v>
      </c>
      <c r="G53" s="24" t="n">
        <f aca="false">E53/Inputs!$B$8</f>
        <v>1.32749333333333</v>
      </c>
      <c r="H53" s="32" t="n">
        <f aca="false">E52-E53</f>
        <v>975.440000000001</v>
      </c>
    </row>
    <row r="55" customFormat="false" ht="15" hidden="false" customHeight="false" outlineLevel="0" collapsed="false">
      <c r="A55" s="4" t="s">
        <v>209</v>
      </c>
      <c r="B55" s="4"/>
      <c r="C55" s="4"/>
      <c r="D55" s="4"/>
      <c r="E55" s="4"/>
      <c r="F55" s="4"/>
      <c r="G55" s="4"/>
      <c r="H55" s="4"/>
      <c r="I55" s="4"/>
      <c r="J55" s="4"/>
      <c r="K55" s="4"/>
      <c r="L55" s="4"/>
      <c r="M55" s="4"/>
      <c r="N55" s="4"/>
      <c r="O55" s="4"/>
      <c r="P55" s="4"/>
      <c r="Q55" s="4"/>
    </row>
    <row r="56" customFormat="false" ht="30" hidden="false" customHeight="true" outlineLevel="0" collapsed="false">
      <c r="A56" s="7" t="s">
        <v>210</v>
      </c>
      <c r="B56" s="7" t="s">
        <v>17</v>
      </c>
      <c r="C56" s="7" t="s">
        <v>211</v>
      </c>
      <c r="D56" s="7"/>
      <c r="E56" s="7" t="s">
        <v>212</v>
      </c>
      <c r="F56" s="7" t="s">
        <v>213</v>
      </c>
      <c r="G56" s="7" t="s">
        <v>214</v>
      </c>
      <c r="H56" s="7" t="s">
        <v>215</v>
      </c>
      <c r="I56" s="7" t="s">
        <v>70</v>
      </c>
      <c r="J56" s="7" t="s">
        <v>216</v>
      </c>
    </row>
    <row r="57" customFormat="false" ht="15" hidden="false" customHeight="false" outlineLevel="0" collapsed="false">
      <c r="A57" s="37" t="s">
        <v>217</v>
      </c>
      <c r="B57" s="37" t="s">
        <v>218</v>
      </c>
      <c r="C57" s="41" t="s">
        <v>219</v>
      </c>
      <c r="D57" s="41"/>
      <c r="E57" s="42" t="n">
        <f aca="false">L17</f>
        <v>1.03496474666667</v>
      </c>
      <c r="F57" s="42" t="n">
        <f aca="false">L18</f>
        <v>1.24295418666667</v>
      </c>
      <c r="G57" s="42" t="n">
        <f aca="false">L19</f>
        <v>1.52063418666667</v>
      </c>
      <c r="H57" s="25" t="n">
        <f aca="false">I57/Inputs!$B$8</f>
        <v>1.15057456</v>
      </c>
      <c r="I57" s="27" t="n">
        <f aca="false">E57*Inputs!$B$5+F57*Inputs!$B$6+G57*Inputs!$B$7</f>
        <v>3451.72368</v>
      </c>
      <c r="J57" s="43" t="n">
        <f aca="false">H57-$H$57</f>
        <v>0</v>
      </c>
    </row>
    <row r="58" customFormat="false" ht="15" hidden="false" customHeight="false" outlineLevel="0" collapsed="false">
      <c r="A58" s="37" t="s">
        <v>220</v>
      </c>
      <c r="B58" s="37" t="s">
        <v>221</v>
      </c>
      <c r="C58" s="41" t="s">
        <v>222</v>
      </c>
      <c r="D58" s="41"/>
      <c r="E58" s="42" t="n">
        <f aca="false">L31</f>
        <v>1.14816</v>
      </c>
      <c r="F58" s="42" t="n">
        <f aca="false">L32</f>
        <v>1.14816</v>
      </c>
      <c r="G58" s="42" t="n">
        <f aca="false">L33</f>
        <v>2.22416</v>
      </c>
      <c r="H58" s="25" t="n">
        <f aca="false">I58/Inputs!$B$8</f>
        <v>1.32749333333333</v>
      </c>
      <c r="I58" s="27" t="n">
        <f aca="false">E58*Inputs!$B$5+F58*Inputs!$B$6+G58*Inputs!$B$7</f>
        <v>3982.48</v>
      </c>
      <c r="J58" s="43" t="n">
        <f aca="false">H58-$H$57</f>
        <v>0.176918773333333</v>
      </c>
    </row>
    <row r="59" customFormat="false" ht="15" hidden="false" customHeight="false" outlineLevel="0" collapsed="false">
      <c r="A59" s="37" t="s">
        <v>223</v>
      </c>
      <c r="B59" s="37" t="s">
        <v>224</v>
      </c>
      <c r="C59" s="41" t="s">
        <v>225</v>
      </c>
      <c r="D59" s="41"/>
      <c r="E59" s="42" t="n">
        <f aca="false">'Final Recommendation'!I33</f>
        <v>1.31896666666667</v>
      </c>
      <c r="F59" s="42" t="n">
        <f aca="false">'Final Recommendation'!I34</f>
        <v>1.59012</v>
      </c>
      <c r="G59" s="42" t="n">
        <f aca="false">'Final Recommendation'!K23</f>
        <v>1.9576608</v>
      </c>
      <c r="H59" s="25" t="n">
        <f aca="false">I59/Inputs!$B$8</f>
        <v>1.47060791111111</v>
      </c>
      <c r="I59" s="27" t="n">
        <f aca="false">E59*Inputs!$B$5+F59*Inputs!$B$6+G59*Inputs!$B$7</f>
        <v>4411.82373333333</v>
      </c>
      <c r="J59" s="43" t="n">
        <f aca="false">H59-$H$57</f>
        <v>0.320033351111111</v>
      </c>
    </row>
    <row r="60" customFormat="false" ht="15" hidden="false" customHeight="false" outlineLevel="0" collapsed="false">
      <c r="A60" s="37" t="s">
        <v>226</v>
      </c>
      <c r="B60" s="37" t="s">
        <v>227</v>
      </c>
      <c r="C60" s="41" t="s">
        <v>228</v>
      </c>
      <c r="D60" s="41"/>
      <c r="E60" s="42" t="n">
        <f aca="false">'Final Recommendation'!I41</f>
        <v>1.41872</v>
      </c>
      <c r="F60" s="42" t="n">
        <f aca="false">'Final Recommendation'!I42</f>
        <v>1.61808</v>
      </c>
      <c r="G60" s="42" t="n">
        <f aca="false">L45</f>
        <v>2.62288</v>
      </c>
      <c r="H60" s="25" t="n">
        <f aca="false">I60/Inputs!$B$8</f>
        <v>1.65264</v>
      </c>
      <c r="I60" s="27" t="n">
        <f aca="false">E60*Inputs!$B$5+F60*Inputs!$B$6+G60*Inputs!$B$7</f>
        <v>4957.92</v>
      </c>
      <c r="J60" s="43" t="n">
        <f aca="false">H60-$H$57</f>
        <v>0.50206544</v>
      </c>
    </row>
    <row r="61" customFormat="false" ht="15" hidden="false" customHeight="false" outlineLevel="0" collapsed="false">
      <c r="A61" s="2" t="s">
        <v>229</v>
      </c>
    </row>
    <row r="63" customFormat="false" ht="15" hidden="false" customHeight="false" outlineLevel="0" collapsed="false">
      <c r="A63" s="4" t="s">
        <v>230</v>
      </c>
      <c r="B63" s="4"/>
      <c r="C63" s="4"/>
      <c r="D63" s="4"/>
      <c r="E63" s="4"/>
      <c r="F63" s="4"/>
      <c r="G63" s="4"/>
      <c r="H63" s="4"/>
      <c r="I63" s="4"/>
      <c r="J63" s="4"/>
      <c r="K63" s="4"/>
      <c r="L63" s="4"/>
      <c r="M63" s="4"/>
      <c r="N63" s="4"/>
      <c r="O63" s="4"/>
      <c r="P63" s="4"/>
      <c r="Q63" s="4"/>
    </row>
    <row r="64" customFormat="false" ht="30" hidden="false" customHeight="true" outlineLevel="0" collapsed="false">
      <c r="A64" s="5" t="s">
        <v>231</v>
      </c>
      <c r="B64" s="6" t="s">
        <v>232</v>
      </c>
      <c r="C64" s="6"/>
      <c r="D64" s="6"/>
      <c r="E64" s="6"/>
      <c r="F64" s="6"/>
      <c r="G64" s="6"/>
      <c r="H64" s="6"/>
      <c r="I64" s="6"/>
      <c r="J64" s="6"/>
      <c r="K64" s="6"/>
      <c r="L64" s="6"/>
      <c r="M64" s="6"/>
      <c r="N64" s="6"/>
      <c r="O64" s="6"/>
      <c r="P64" s="6"/>
      <c r="Q64" s="6"/>
    </row>
    <row r="65" customFormat="false" ht="30" hidden="false" customHeight="true" outlineLevel="0" collapsed="false">
      <c r="A65" s="5" t="s">
        <v>233</v>
      </c>
      <c r="B65" s="6" t="s">
        <v>234</v>
      </c>
      <c r="C65" s="6"/>
      <c r="D65" s="6"/>
      <c r="E65" s="6"/>
      <c r="F65" s="6"/>
      <c r="G65" s="6"/>
      <c r="H65" s="6"/>
      <c r="I65" s="6"/>
      <c r="J65" s="6"/>
      <c r="K65" s="6"/>
      <c r="L65" s="6"/>
      <c r="M65" s="6"/>
      <c r="N65" s="6"/>
      <c r="O65" s="6"/>
      <c r="P65" s="6"/>
      <c r="Q65" s="6"/>
    </row>
    <row r="66" customFormat="false" ht="30" hidden="false" customHeight="true" outlineLevel="0" collapsed="false">
      <c r="A66" s="5" t="s">
        <v>235</v>
      </c>
      <c r="B66" s="6" t="s">
        <v>236</v>
      </c>
      <c r="C66" s="6"/>
      <c r="D66" s="6"/>
      <c r="E66" s="6"/>
      <c r="F66" s="6"/>
      <c r="G66" s="6"/>
      <c r="H66" s="6"/>
      <c r="I66" s="6"/>
      <c r="J66" s="6"/>
      <c r="K66" s="6"/>
      <c r="L66" s="6"/>
      <c r="M66" s="6"/>
      <c r="N66" s="6"/>
      <c r="O66" s="6"/>
      <c r="P66" s="6"/>
      <c r="Q66" s="6"/>
    </row>
    <row r="67" customFormat="false" ht="30" hidden="false" customHeight="true" outlineLevel="0" collapsed="false">
      <c r="A67" s="5" t="s">
        <v>237</v>
      </c>
      <c r="B67" s="6" t="s">
        <v>238</v>
      </c>
      <c r="C67" s="6"/>
      <c r="D67" s="6"/>
      <c r="E67" s="6"/>
      <c r="F67" s="6"/>
      <c r="G67" s="6"/>
      <c r="H67" s="6"/>
      <c r="I67" s="6"/>
      <c r="J67" s="6"/>
      <c r="K67" s="6"/>
      <c r="L67" s="6"/>
      <c r="M67" s="6"/>
      <c r="N67" s="6"/>
      <c r="O67" s="6"/>
      <c r="P67" s="6"/>
      <c r="Q67" s="6"/>
    </row>
  </sheetData>
  <mergeCells count="22">
    <mergeCell ref="A4:Q4"/>
    <mergeCell ref="A14:Q14"/>
    <mergeCell ref="A15:Q15"/>
    <mergeCell ref="A22:Q22"/>
    <mergeCell ref="A29:Q29"/>
    <mergeCell ref="A36:Q36"/>
    <mergeCell ref="A43:Q43"/>
    <mergeCell ref="A48:Q48"/>
    <mergeCell ref="C50:D50"/>
    <mergeCell ref="C51:D51"/>
    <mergeCell ref="C52:D52"/>
    <mergeCell ref="C53:D53"/>
    <mergeCell ref="A55:Q55"/>
    <mergeCell ref="C57:D57"/>
    <mergeCell ref="C58:D58"/>
    <mergeCell ref="C59:D59"/>
    <mergeCell ref="C60:D60"/>
    <mergeCell ref="A63:Q63"/>
    <mergeCell ref="B64:Q64"/>
    <mergeCell ref="B65:Q65"/>
    <mergeCell ref="B66:Q66"/>
    <mergeCell ref="B67:Q67"/>
  </mergeCells>
  <conditionalFormatting sqref="B7:E11">
    <cfRule type="expression" priority="2" aboveAverage="0" equalAverage="0" bottom="0" percent="0" rank="0" text="" dxfId="0">
      <formula>LEFT(B7,2)="OK"</formula>
    </cfRule>
    <cfRule type="expression" priority="3" aboveAverage="0" equalAverage="0" bottom="0" percent="0" rank="0" text="" dxfId="2">
      <formula>LEFT(B7,5)="Tight"</formula>
    </cfRule>
    <cfRule type="expression" priority="4" aboveAverage="0" equalAverage="0" bottom="0" percent="0" rank="0" text="" dxfId="1">
      <formula>OR(LEFT(B7,3)="Too",LEFT(B7,5)="Looks")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26"/>
    <col collapsed="false" customWidth="true" hidden="false" outlineLevel="0" max="4" min="4" style="0" width="46"/>
    <col collapsed="false" customWidth="true" hidden="false" outlineLevel="0" max="5" min="5" style="0" width="30"/>
    <col collapsed="false" customWidth="true" hidden="false" outlineLevel="0" max="6" min="6" style="0" width="60"/>
  </cols>
  <sheetData>
    <row r="1" customFormat="false" ht="17.35" hidden="false" customHeight="false" outlineLevel="0" collapsed="false">
      <c r="A1" s="1" t="s">
        <v>239</v>
      </c>
    </row>
    <row r="2" customFormat="false" ht="15" hidden="false" customHeight="false" outlineLevel="0" collapsed="false">
      <c r="A2" s="2" t="s">
        <v>240</v>
      </c>
    </row>
    <row r="4" customFormat="false" ht="15" hidden="false" customHeight="false" outlineLevel="0" collapsed="false">
      <c r="A4" s="44" t="s">
        <v>150</v>
      </c>
      <c r="B4" s="44" t="s">
        <v>241</v>
      </c>
      <c r="C4" s="44" t="s">
        <v>242</v>
      </c>
      <c r="D4" s="45" t="s">
        <v>243</v>
      </c>
      <c r="E4" s="45"/>
      <c r="F4" s="45"/>
    </row>
    <row r="5" customFormat="false" ht="15" hidden="false" customHeight="false" outlineLevel="0" collapsed="false">
      <c r="A5" s="46" t="s">
        <v>244</v>
      </c>
      <c r="B5" s="46"/>
      <c r="C5" s="46"/>
      <c r="D5" s="46"/>
      <c r="E5" s="46"/>
      <c r="F5" s="46"/>
    </row>
    <row r="6" customFormat="false" ht="23.85" hidden="false" customHeight="false" outlineLevel="0" collapsed="false">
      <c r="A6" s="5" t="s">
        <v>245</v>
      </c>
      <c r="B6" s="6" t="s">
        <v>246</v>
      </c>
      <c r="C6" s="6" t="s">
        <v>247</v>
      </c>
      <c r="D6" s="47" t="s">
        <v>248</v>
      </c>
      <c r="E6" s="47"/>
      <c r="F6" s="47"/>
    </row>
    <row r="7" customFormat="false" ht="15" hidden="false" customHeight="false" outlineLevel="0" collapsed="false">
      <c r="A7" s="5" t="s">
        <v>163</v>
      </c>
      <c r="B7" s="6" t="s">
        <v>249</v>
      </c>
      <c r="C7" s="6" t="s">
        <v>250</v>
      </c>
      <c r="D7" s="47" t="s">
        <v>251</v>
      </c>
      <c r="E7" s="47"/>
      <c r="F7" s="47"/>
    </row>
    <row r="8" customFormat="false" ht="23.85" hidden="false" customHeight="false" outlineLevel="0" collapsed="false">
      <c r="A8" s="5" t="s">
        <v>163</v>
      </c>
      <c r="B8" s="6" t="s">
        <v>252</v>
      </c>
      <c r="C8" s="6" t="s">
        <v>253</v>
      </c>
      <c r="D8" s="47" t="s">
        <v>254</v>
      </c>
      <c r="E8" s="47"/>
      <c r="F8" s="47"/>
    </row>
    <row r="9" customFormat="false" ht="15" hidden="false" customHeight="false" outlineLevel="0" collapsed="false">
      <c r="A9" s="5" t="s">
        <v>163</v>
      </c>
      <c r="B9" s="6" t="s">
        <v>255</v>
      </c>
      <c r="C9" s="6" t="s">
        <v>256</v>
      </c>
      <c r="D9" s="47" t="s">
        <v>257</v>
      </c>
      <c r="E9" s="47"/>
      <c r="F9" s="47"/>
    </row>
    <row r="10" customFormat="false" ht="23.85" hidden="false" customHeight="false" outlineLevel="0" collapsed="false">
      <c r="A10" s="5" t="s">
        <v>163</v>
      </c>
      <c r="B10" s="6" t="s">
        <v>258</v>
      </c>
      <c r="C10" s="6" t="s">
        <v>259</v>
      </c>
      <c r="D10" s="47" t="s">
        <v>260</v>
      </c>
      <c r="E10" s="47"/>
      <c r="F10" s="47"/>
    </row>
    <row r="11" customFormat="false" ht="23.85" hidden="false" customHeight="false" outlineLevel="0" collapsed="false">
      <c r="A11" s="5" t="s">
        <v>163</v>
      </c>
      <c r="B11" s="6" t="s">
        <v>261</v>
      </c>
      <c r="C11" s="6" t="s">
        <v>262</v>
      </c>
      <c r="D11" s="47" t="s">
        <v>263</v>
      </c>
      <c r="E11" s="47"/>
      <c r="F11" s="47"/>
    </row>
    <row r="12" customFormat="false" ht="23.85" hidden="false" customHeight="false" outlineLevel="0" collapsed="false">
      <c r="A12" s="5" t="s">
        <v>264</v>
      </c>
      <c r="B12" s="6" t="s">
        <v>265</v>
      </c>
      <c r="C12" s="6" t="s">
        <v>266</v>
      </c>
      <c r="D12" s="47" t="s">
        <v>267</v>
      </c>
      <c r="E12" s="47"/>
      <c r="F12" s="47"/>
    </row>
    <row r="13" customFormat="false" ht="23.85" hidden="false" customHeight="false" outlineLevel="0" collapsed="false">
      <c r="A13" s="5" t="s">
        <v>264</v>
      </c>
      <c r="B13" s="6" t="s">
        <v>268</v>
      </c>
      <c r="C13" s="6" t="s">
        <v>269</v>
      </c>
      <c r="D13" s="47" t="s">
        <v>270</v>
      </c>
      <c r="E13" s="47"/>
      <c r="F13" s="47"/>
    </row>
    <row r="14" customFormat="false" ht="23.85" hidden="false" customHeight="false" outlineLevel="0" collapsed="false">
      <c r="A14" s="5" t="s">
        <v>264</v>
      </c>
      <c r="B14" s="6" t="s">
        <v>271</v>
      </c>
      <c r="C14" s="6" t="s">
        <v>272</v>
      </c>
      <c r="D14" s="47" t="s">
        <v>273</v>
      </c>
      <c r="E14" s="47"/>
      <c r="F14" s="47"/>
    </row>
    <row r="15" customFormat="false" ht="23.85" hidden="false" customHeight="false" outlineLevel="0" collapsed="false">
      <c r="A15" s="5" t="s">
        <v>274</v>
      </c>
      <c r="B15" s="6" t="s">
        <v>275</v>
      </c>
      <c r="C15" s="6" t="s">
        <v>276</v>
      </c>
      <c r="D15" s="47" t="s">
        <v>277</v>
      </c>
      <c r="E15" s="47"/>
      <c r="F15" s="47"/>
    </row>
    <row r="16" customFormat="false" ht="15" hidden="false" customHeight="false" outlineLevel="0" collapsed="false">
      <c r="A16" s="5" t="s">
        <v>278</v>
      </c>
      <c r="B16" s="6" t="s">
        <v>279</v>
      </c>
      <c r="C16" s="6" t="s">
        <v>280</v>
      </c>
      <c r="D16" s="47" t="s">
        <v>281</v>
      </c>
      <c r="E16" s="47"/>
      <c r="F16" s="47"/>
    </row>
    <row r="17" customFormat="false" ht="15" hidden="false" customHeight="false" outlineLevel="0" collapsed="false">
      <c r="A17" s="5" t="s">
        <v>278</v>
      </c>
      <c r="B17" s="6" t="s">
        <v>282</v>
      </c>
      <c r="C17" s="6" t="s">
        <v>283</v>
      </c>
      <c r="D17" s="47" t="s">
        <v>284</v>
      </c>
      <c r="E17" s="47"/>
      <c r="F17" s="47"/>
    </row>
    <row r="18" customFormat="false" ht="23.85" hidden="false" customHeight="false" outlineLevel="0" collapsed="false">
      <c r="A18" s="5" t="s">
        <v>278</v>
      </c>
      <c r="B18" s="6" t="s">
        <v>285</v>
      </c>
      <c r="C18" s="6" t="s">
        <v>286</v>
      </c>
      <c r="D18" s="47" t="s">
        <v>287</v>
      </c>
      <c r="E18" s="47"/>
      <c r="F18" s="47"/>
    </row>
    <row r="19" customFormat="false" ht="15" hidden="false" customHeight="false" outlineLevel="0" collapsed="false">
      <c r="A19" s="5" t="s">
        <v>288</v>
      </c>
      <c r="B19" s="6" t="s">
        <v>289</v>
      </c>
      <c r="C19" s="6" t="s">
        <v>290</v>
      </c>
      <c r="D19" s="47" t="s">
        <v>291</v>
      </c>
      <c r="E19" s="47"/>
      <c r="F19" s="47"/>
    </row>
    <row r="20" customFormat="false" ht="15" hidden="false" customHeight="false" outlineLevel="0" collapsed="false">
      <c r="A20" s="5" t="s">
        <v>288</v>
      </c>
      <c r="B20" s="6" t="s">
        <v>292</v>
      </c>
      <c r="C20" s="6" t="s">
        <v>293</v>
      </c>
      <c r="D20" s="47" t="s">
        <v>294</v>
      </c>
      <c r="E20" s="47"/>
      <c r="F20" s="47"/>
    </row>
    <row r="21" customFormat="false" ht="23.85" hidden="false" customHeight="false" outlineLevel="0" collapsed="false">
      <c r="A21" s="5" t="s">
        <v>295</v>
      </c>
      <c r="B21" s="6" t="s">
        <v>296</v>
      </c>
      <c r="C21" s="6" t="s">
        <v>297</v>
      </c>
      <c r="D21" s="47" t="s">
        <v>298</v>
      </c>
      <c r="E21" s="47"/>
      <c r="F21" s="47"/>
    </row>
    <row r="22" customFormat="false" ht="15" hidden="false" customHeight="false" outlineLevel="0" collapsed="false">
      <c r="A22" s="5" t="s">
        <v>299</v>
      </c>
      <c r="B22" s="6" t="s">
        <v>300</v>
      </c>
      <c r="C22" s="6" t="s">
        <v>301</v>
      </c>
      <c r="D22" s="47" t="s">
        <v>302</v>
      </c>
      <c r="E22" s="47"/>
      <c r="F22" s="47"/>
    </row>
    <row r="23" customFormat="false" ht="15" hidden="false" customHeight="false" outlineLevel="0" collapsed="false">
      <c r="A23" s="5" t="s">
        <v>303</v>
      </c>
      <c r="B23" s="6" t="s">
        <v>304</v>
      </c>
      <c r="C23" s="6" t="s">
        <v>305</v>
      </c>
      <c r="D23" s="47" t="s">
        <v>306</v>
      </c>
      <c r="E23" s="47"/>
      <c r="F23" s="47"/>
    </row>
    <row r="24" customFormat="false" ht="15" hidden="false" customHeight="false" outlineLevel="0" collapsed="false">
      <c r="A24" s="5" t="s">
        <v>307</v>
      </c>
      <c r="B24" s="6" t="s">
        <v>308</v>
      </c>
      <c r="C24" s="6" t="s">
        <v>309</v>
      </c>
      <c r="D24" s="47" t="s">
        <v>310</v>
      </c>
      <c r="E24" s="47"/>
      <c r="F24" s="47"/>
    </row>
    <row r="25" customFormat="false" ht="15" hidden="false" customHeight="false" outlineLevel="0" collapsed="false">
      <c r="A25" s="46" t="s">
        <v>311</v>
      </c>
      <c r="B25" s="46"/>
      <c r="C25" s="46"/>
      <c r="D25" s="46"/>
      <c r="E25" s="46"/>
      <c r="F25" s="46"/>
    </row>
    <row r="26" customFormat="false" ht="15" hidden="false" customHeight="false" outlineLevel="0" collapsed="false">
      <c r="A26" s="5" t="s">
        <v>299</v>
      </c>
      <c r="B26" s="6" t="s">
        <v>312</v>
      </c>
      <c r="C26" s="6" t="s">
        <v>313</v>
      </c>
      <c r="D26" s="47" t="s">
        <v>314</v>
      </c>
      <c r="E26" s="47"/>
      <c r="F26" s="47"/>
    </row>
    <row r="27" customFormat="false" ht="15" hidden="false" customHeight="false" outlineLevel="0" collapsed="false">
      <c r="A27" s="5" t="s">
        <v>299</v>
      </c>
      <c r="B27" s="6" t="s">
        <v>315</v>
      </c>
      <c r="C27" s="6" t="s">
        <v>316</v>
      </c>
      <c r="D27" s="47" t="s">
        <v>317</v>
      </c>
      <c r="E27" s="47"/>
      <c r="F27" s="47"/>
    </row>
    <row r="28" customFormat="false" ht="23.85" hidden="false" customHeight="false" outlineLevel="0" collapsed="false">
      <c r="A28" s="5" t="s">
        <v>303</v>
      </c>
      <c r="B28" s="6" t="s">
        <v>318</v>
      </c>
      <c r="C28" s="6" t="s">
        <v>319</v>
      </c>
      <c r="D28" s="47" t="s">
        <v>320</v>
      </c>
      <c r="E28" s="47"/>
      <c r="F28" s="47"/>
    </row>
    <row r="29" customFormat="false" ht="15" hidden="false" customHeight="false" outlineLevel="0" collapsed="false">
      <c r="A29" s="5" t="s">
        <v>303</v>
      </c>
      <c r="B29" s="6" t="s">
        <v>321</v>
      </c>
      <c r="C29" s="6" t="s">
        <v>319</v>
      </c>
      <c r="D29" s="47" t="s">
        <v>322</v>
      </c>
      <c r="E29" s="47"/>
      <c r="F29" s="47"/>
    </row>
    <row r="30" customFormat="false" ht="15" hidden="false" customHeight="false" outlineLevel="0" collapsed="false">
      <c r="A30" s="46" t="s">
        <v>323</v>
      </c>
      <c r="B30" s="46"/>
      <c r="C30" s="46"/>
      <c r="D30" s="46"/>
      <c r="E30" s="46"/>
      <c r="F30" s="46"/>
    </row>
    <row r="31" customFormat="false" ht="23.85" hidden="false" customHeight="false" outlineLevel="0" collapsed="false">
      <c r="A31" s="5" t="s">
        <v>324</v>
      </c>
      <c r="B31" s="6" t="s">
        <v>325</v>
      </c>
      <c r="C31" s="6" t="s">
        <v>326</v>
      </c>
      <c r="D31" s="47" t="s">
        <v>327</v>
      </c>
      <c r="E31" s="47"/>
      <c r="F31" s="47"/>
    </row>
    <row r="32" customFormat="false" ht="23.85" hidden="false" customHeight="false" outlineLevel="0" collapsed="false">
      <c r="A32" s="5" t="s">
        <v>324</v>
      </c>
      <c r="B32" s="6" t="s">
        <v>328</v>
      </c>
      <c r="C32" s="6" t="s">
        <v>329</v>
      </c>
      <c r="D32" s="47" t="s">
        <v>330</v>
      </c>
      <c r="E32" s="47"/>
      <c r="F32" s="47"/>
    </row>
    <row r="33" customFormat="false" ht="23.85" hidden="false" customHeight="false" outlineLevel="0" collapsed="false">
      <c r="A33" s="5" t="s">
        <v>324</v>
      </c>
      <c r="B33" s="6" t="s">
        <v>331</v>
      </c>
      <c r="C33" s="6" t="s">
        <v>332</v>
      </c>
      <c r="D33" s="47" t="s">
        <v>333</v>
      </c>
      <c r="E33" s="47"/>
      <c r="F33" s="47"/>
    </row>
    <row r="34" customFormat="false" ht="23.85" hidden="false" customHeight="false" outlineLevel="0" collapsed="false">
      <c r="A34" s="5" t="s">
        <v>324</v>
      </c>
      <c r="B34" s="6" t="s">
        <v>334</v>
      </c>
      <c r="C34" s="6" t="s">
        <v>335</v>
      </c>
      <c r="D34" s="47" t="s">
        <v>336</v>
      </c>
      <c r="E34" s="47"/>
      <c r="F34" s="47"/>
    </row>
    <row r="35" customFormat="false" ht="15" hidden="false" customHeight="false" outlineLevel="0" collapsed="false">
      <c r="A35" s="5" t="s">
        <v>337</v>
      </c>
      <c r="B35" s="6" t="s">
        <v>338</v>
      </c>
      <c r="C35" s="6" t="s">
        <v>339</v>
      </c>
      <c r="D35" s="47" t="s">
        <v>340</v>
      </c>
      <c r="E35" s="47"/>
      <c r="F35" s="47"/>
    </row>
    <row r="36" customFormat="false" ht="15" hidden="false" customHeight="false" outlineLevel="0" collapsed="false">
      <c r="A36" s="5" t="s">
        <v>337</v>
      </c>
      <c r="B36" s="6" t="s">
        <v>341</v>
      </c>
      <c r="C36" s="6" t="s">
        <v>342</v>
      </c>
      <c r="D36" s="47" t="s">
        <v>343</v>
      </c>
      <c r="E36" s="47"/>
      <c r="F36" s="47"/>
    </row>
    <row r="37" customFormat="false" ht="15" hidden="false" customHeight="false" outlineLevel="0" collapsed="false">
      <c r="A37" s="5" t="s">
        <v>337</v>
      </c>
      <c r="B37" s="6" t="s">
        <v>344</v>
      </c>
      <c r="C37" s="6" t="s">
        <v>345</v>
      </c>
      <c r="D37" s="47" t="s">
        <v>346</v>
      </c>
      <c r="E37" s="47"/>
      <c r="F37" s="47"/>
    </row>
    <row r="38" customFormat="false" ht="23.85" hidden="false" customHeight="false" outlineLevel="0" collapsed="false">
      <c r="A38" s="5" t="s">
        <v>264</v>
      </c>
      <c r="B38" s="6" t="s">
        <v>347</v>
      </c>
      <c r="C38" s="6" t="s">
        <v>348</v>
      </c>
      <c r="D38" s="47" t="s">
        <v>349</v>
      </c>
      <c r="E38" s="47"/>
      <c r="F38" s="47"/>
    </row>
    <row r="39" customFormat="false" ht="23.85" hidden="false" customHeight="false" outlineLevel="0" collapsed="false">
      <c r="A39" s="5" t="s">
        <v>264</v>
      </c>
      <c r="B39" s="6" t="s">
        <v>350</v>
      </c>
      <c r="C39" s="6" t="s">
        <v>351</v>
      </c>
      <c r="D39" s="47" t="s">
        <v>352</v>
      </c>
      <c r="E39" s="47"/>
      <c r="F39" s="47"/>
    </row>
    <row r="40" customFormat="false" ht="23.85" hidden="false" customHeight="false" outlineLevel="0" collapsed="false">
      <c r="A40" s="5" t="s">
        <v>274</v>
      </c>
      <c r="B40" s="6" t="s">
        <v>353</v>
      </c>
      <c r="C40" s="6" t="s">
        <v>354</v>
      </c>
      <c r="D40" s="47" t="s">
        <v>355</v>
      </c>
      <c r="E40" s="47"/>
      <c r="F40" s="47"/>
    </row>
    <row r="41" customFormat="false" ht="23.85" hidden="false" customHeight="false" outlineLevel="0" collapsed="false">
      <c r="A41" s="5" t="s">
        <v>274</v>
      </c>
      <c r="B41" s="6" t="s">
        <v>356</v>
      </c>
      <c r="C41" s="6" t="s">
        <v>357</v>
      </c>
      <c r="D41" s="47" t="s">
        <v>358</v>
      </c>
      <c r="E41" s="47"/>
      <c r="F41" s="47"/>
    </row>
    <row r="42" customFormat="false" ht="15" hidden="false" customHeight="false" outlineLevel="0" collapsed="false">
      <c r="A42" s="5" t="s">
        <v>274</v>
      </c>
      <c r="B42" s="6" t="s">
        <v>359</v>
      </c>
      <c r="C42" s="6" t="s">
        <v>360</v>
      </c>
      <c r="D42" s="47" t="s">
        <v>361</v>
      </c>
      <c r="E42" s="47"/>
      <c r="F42" s="47"/>
    </row>
    <row r="43" customFormat="false" ht="15" hidden="false" customHeight="false" outlineLevel="0" collapsed="false">
      <c r="A43" s="5" t="s">
        <v>278</v>
      </c>
      <c r="B43" s="6" t="s">
        <v>362</v>
      </c>
      <c r="C43" s="6" t="s">
        <v>363</v>
      </c>
      <c r="D43" s="47" t="s">
        <v>364</v>
      </c>
      <c r="E43" s="47"/>
      <c r="F43" s="47"/>
    </row>
    <row r="44" customFormat="false" ht="23.85" hidden="false" customHeight="false" outlineLevel="0" collapsed="false">
      <c r="A44" s="5" t="s">
        <v>295</v>
      </c>
      <c r="B44" s="6" t="s">
        <v>365</v>
      </c>
      <c r="C44" s="6" t="s">
        <v>366</v>
      </c>
      <c r="D44" s="47" t="s">
        <v>367</v>
      </c>
      <c r="E44" s="47"/>
      <c r="F44" s="47"/>
    </row>
    <row r="45" customFormat="false" ht="23.85" hidden="false" customHeight="false" outlineLevel="0" collapsed="false">
      <c r="A45" s="5" t="s">
        <v>295</v>
      </c>
      <c r="B45" s="6" t="s">
        <v>368</v>
      </c>
      <c r="C45" s="6" t="s">
        <v>369</v>
      </c>
      <c r="D45" s="47" t="s">
        <v>370</v>
      </c>
      <c r="E45" s="47"/>
      <c r="F45" s="47"/>
    </row>
    <row r="46" customFormat="false" ht="15" hidden="false" customHeight="false" outlineLevel="0" collapsed="false">
      <c r="A46" s="5" t="s">
        <v>295</v>
      </c>
      <c r="B46" s="6" t="s">
        <v>371</v>
      </c>
      <c r="C46" s="6" t="s">
        <v>372</v>
      </c>
      <c r="D46" s="47" t="s">
        <v>373</v>
      </c>
      <c r="E46" s="47"/>
      <c r="F46" s="47"/>
    </row>
    <row r="47" customFormat="false" ht="23.85" hidden="false" customHeight="false" outlineLevel="0" collapsed="false">
      <c r="A47" s="5" t="s">
        <v>374</v>
      </c>
      <c r="B47" s="6" t="s">
        <v>375</v>
      </c>
      <c r="C47" s="6" t="s">
        <v>376</v>
      </c>
      <c r="D47" s="47" t="s">
        <v>377</v>
      </c>
      <c r="E47" s="47"/>
      <c r="F47" s="47"/>
    </row>
    <row r="48" customFormat="false" ht="23.85" hidden="false" customHeight="false" outlineLevel="0" collapsed="false">
      <c r="A48" s="5" t="s">
        <v>374</v>
      </c>
      <c r="B48" s="6" t="s">
        <v>378</v>
      </c>
      <c r="C48" s="6" t="s">
        <v>379</v>
      </c>
      <c r="D48" s="47" t="s">
        <v>380</v>
      </c>
      <c r="E48" s="47"/>
      <c r="F48" s="47"/>
    </row>
    <row r="49" customFormat="false" ht="15" hidden="false" customHeight="false" outlineLevel="0" collapsed="false">
      <c r="A49" s="5" t="s">
        <v>381</v>
      </c>
      <c r="B49" s="6" t="s">
        <v>382</v>
      </c>
      <c r="C49" s="6" t="s">
        <v>383</v>
      </c>
      <c r="D49" s="47" t="s">
        <v>384</v>
      </c>
      <c r="E49" s="47"/>
      <c r="F49" s="47"/>
    </row>
    <row r="50" customFormat="false" ht="15" hidden="false" customHeight="false" outlineLevel="0" collapsed="false">
      <c r="A50" s="5" t="s">
        <v>385</v>
      </c>
      <c r="B50" s="6" t="s">
        <v>386</v>
      </c>
      <c r="C50" s="6" t="s">
        <v>387</v>
      </c>
      <c r="D50" s="47" t="s">
        <v>388</v>
      </c>
      <c r="E50" s="47"/>
      <c r="F50" s="47"/>
    </row>
    <row r="51" customFormat="false" ht="23.85" hidden="false" customHeight="false" outlineLevel="0" collapsed="false">
      <c r="A51" s="5" t="s">
        <v>389</v>
      </c>
      <c r="B51" s="6" t="s">
        <v>390</v>
      </c>
      <c r="C51" s="6" t="s">
        <v>391</v>
      </c>
      <c r="D51" s="47" t="s">
        <v>392</v>
      </c>
      <c r="E51" s="47"/>
      <c r="F51" s="47"/>
    </row>
    <row r="52" customFormat="false" ht="15" hidden="false" customHeight="false" outlineLevel="0" collapsed="false">
      <c r="A52" s="5" t="s">
        <v>393</v>
      </c>
      <c r="B52" s="6" t="s">
        <v>394</v>
      </c>
      <c r="C52" s="6" t="s">
        <v>395</v>
      </c>
      <c r="D52" s="47" t="s">
        <v>396</v>
      </c>
      <c r="E52" s="47"/>
      <c r="F52" s="47"/>
    </row>
    <row r="53" customFormat="false" ht="15" hidden="false" customHeight="false" outlineLevel="0" collapsed="false">
      <c r="A53" s="5" t="s">
        <v>397</v>
      </c>
      <c r="B53" s="6" t="s">
        <v>398</v>
      </c>
      <c r="C53" s="6" t="s">
        <v>399</v>
      </c>
      <c r="D53" s="47" t="s">
        <v>400</v>
      </c>
      <c r="E53" s="47"/>
      <c r="F53" s="47"/>
    </row>
    <row r="54" customFormat="false" ht="15" hidden="false" customHeight="false" outlineLevel="0" collapsed="false">
      <c r="A54" s="46" t="s">
        <v>401</v>
      </c>
      <c r="B54" s="46"/>
      <c r="C54" s="46"/>
      <c r="D54" s="46"/>
      <c r="E54" s="46"/>
      <c r="F54" s="46"/>
    </row>
    <row r="55" customFormat="false" ht="15" hidden="false" customHeight="false" outlineLevel="0" collapsed="false">
      <c r="A55" s="5" t="s">
        <v>385</v>
      </c>
      <c r="B55" s="6" t="s">
        <v>402</v>
      </c>
      <c r="C55" s="6" t="s">
        <v>403</v>
      </c>
      <c r="D55" s="47" t="s">
        <v>404</v>
      </c>
      <c r="E55" s="47"/>
      <c r="F55" s="47"/>
    </row>
    <row r="56" customFormat="false" ht="23.85" hidden="false" customHeight="false" outlineLevel="0" collapsed="false">
      <c r="A56" s="5" t="s">
        <v>405</v>
      </c>
      <c r="B56" s="6" t="s">
        <v>406</v>
      </c>
      <c r="C56" s="6" t="s">
        <v>407</v>
      </c>
      <c r="D56" s="47" t="s">
        <v>408</v>
      </c>
      <c r="E56" s="47"/>
      <c r="F56" s="47"/>
    </row>
    <row r="57" customFormat="false" ht="23.85" hidden="false" customHeight="false" outlineLevel="0" collapsed="false">
      <c r="A57" s="5" t="s">
        <v>409</v>
      </c>
      <c r="B57" s="6" t="s">
        <v>410</v>
      </c>
      <c r="C57" s="6" t="s">
        <v>411</v>
      </c>
      <c r="D57" s="47" t="s">
        <v>412</v>
      </c>
      <c r="E57" s="47"/>
      <c r="F57" s="47"/>
    </row>
    <row r="58" customFormat="false" ht="15" hidden="false" customHeight="false" outlineLevel="0" collapsed="false">
      <c r="A58" s="5" t="s">
        <v>413</v>
      </c>
      <c r="B58" s="6" t="s">
        <v>414</v>
      </c>
      <c r="C58" s="6" t="s">
        <v>319</v>
      </c>
      <c r="D58" s="47" t="s">
        <v>415</v>
      </c>
      <c r="E58" s="47"/>
      <c r="F58" s="47"/>
    </row>
    <row r="59" customFormat="false" ht="15" hidden="false" customHeight="false" outlineLevel="0" collapsed="false">
      <c r="A59" s="46" t="s">
        <v>416</v>
      </c>
      <c r="B59" s="46"/>
      <c r="C59" s="46"/>
      <c r="D59" s="46"/>
      <c r="E59" s="46"/>
      <c r="F59" s="46"/>
    </row>
    <row r="60" customFormat="false" ht="23.85" hidden="false" customHeight="false" outlineLevel="0" collapsed="false">
      <c r="A60" s="5" t="s">
        <v>295</v>
      </c>
      <c r="B60" s="6" t="s">
        <v>417</v>
      </c>
      <c r="C60" s="6" t="s">
        <v>418</v>
      </c>
      <c r="D60" s="47" t="s">
        <v>419</v>
      </c>
      <c r="E60" s="47"/>
      <c r="F60" s="47"/>
    </row>
    <row r="61" customFormat="false" ht="15" hidden="false" customHeight="false" outlineLevel="0" collapsed="false">
      <c r="A61" s="5" t="s">
        <v>274</v>
      </c>
      <c r="B61" s="6" t="s">
        <v>420</v>
      </c>
      <c r="C61" s="6" t="s">
        <v>421</v>
      </c>
      <c r="D61" s="47" t="s">
        <v>422</v>
      </c>
      <c r="E61" s="47"/>
      <c r="F61" s="47"/>
    </row>
    <row r="62" customFormat="false" ht="15" hidden="false" customHeight="false" outlineLevel="0" collapsed="false">
      <c r="A62" s="46" t="s">
        <v>423</v>
      </c>
      <c r="B62" s="46"/>
      <c r="C62" s="46"/>
      <c r="D62" s="46"/>
      <c r="E62" s="46"/>
      <c r="F62" s="46"/>
    </row>
    <row r="63" customFormat="false" ht="23.85" hidden="false" customHeight="false" outlineLevel="0" collapsed="false">
      <c r="A63" s="5" t="s">
        <v>424</v>
      </c>
      <c r="B63" s="6" t="s">
        <v>425</v>
      </c>
      <c r="C63" s="6" t="s">
        <v>426</v>
      </c>
      <c r="D63" s="47" t="s">
        <v>427</v>
      </c>
      <c r="E63" s="47"/>
      <c r="F63" s="47"/>
    </row>
    <row r="64" customFormat="false" ht="23.85" hidden="false" customHeight="false" outlineLevel="0" collapsed="false">
      <c r="A64" s="5" t="s">
        <v>428</v>
      </c>
      <c r="B64" s="6" t="s">
        <v>429</v>
      </c>
      <c r="C64" s="6" t="s">
        <v>426</v>
      </c>
      <c r="D64" s="47" t="s">
        <v>430</v>
      </c>
      <c r="E64" s="47"/>
      <c r="F64" s="47"/>
    </row>
    <row r="65" customFormat="false" ht="15" hidden="false" customHeight="false" outlineLevel="0" collapsed="false">
      <c r="A65" s="5" t="s">
        <v>424</v>
      </c>
      <c r="B65" s="6" t="s">
        <v>431</v>
      </c>
      <c r="C65" s="6" t="s">
        <v>426</v>
      </c>
      <c r="D65" s="47" t="s">
        <v>432</v>
      </c>
      <c r="E65" s="47"/>
      <c r="F65" s="47"/>
    </row>
    <row r="66" customFormat="false" ht="23.85" hidden="false" customHeight="false" outlineLevel="0" collapsed="false">
      <c r="A66" s="5" t="s">
        <v>433</v>
      </c>
      <c r="B66" s="6" t="s">
        <v>434</v>
      </c>
      <c r="C66" s="6" t="s">
        <v>426</v>
      </c>
      <c r="D66" s="47" t="s">
        <v>435</v>
      </c>
      <c r="E66" s="47"/>
      <c r="F66" s="47"/>
    </row>
    <row r="67" customFormat="false" ht="15" hidden="false" customHeight="false" outlineLevel="0" collapsed="false">
      <c r="A67" s="5" t="s">
        <v>436</v>
      </c>
      <c r="B67" s="6" t="s">
        <v>437</v>
      </c>
      <c r="C67" s="6" t="s">
        <v>438</v>
      </c>
      <c r="D67" s="47" t="s">
        <v>439</v>
      </c>
      <c r="E67" s="47"/>
      <c r="F67" s="47"/>
    </row>
    <row r="68" customFormat="false" ht="15" hidden="false" customHeight="false" outlineLevel="0" collapsed="false">
      <c r="A68" s="5" t="s">
        <v>440</v>
      </c>
      <c r="B68" s="6" t="s">
        <v>441</v>
      </c>
      <c r="C68" s="6" t="s">
        <v>442</v>
      </c>
      <c r="D68" s="47" t="s">
        <v>443</v>
      </c>
      <c r="E68" s="47"/>
      <c r="F68" s="47"/>
    </row>
    <row r="69" customFormat="false" ht="15" hidden="false" customHeight="false" outlineLevel="0" collapsed="false">
      <c r="A69" s="5" t="s">
        <v>444</v>
      </c>
      <c r="B69" s="6" t="s">
        <v>445</v>
      </c>
      <c r="C69" s="6" t="s">
        <v>446</v>
      </c>
      <c r="D69" s="47" t="s">
        <v>447</v>
      </c>
      <c r="E69" s="47"/>
      <c r="F69" s="47"/>
    </row>
    <row r="70" customFormat="false" ht="15" hidden="false" customHeight="false" outlineLevel="0" collapsed="false">
      <c r="A70" s="5" t="s">
        <v>448</v>
      </c>
      <c r="B70" s="6" t="s">
        <v>449</v>
      </c>
      <c r="C70" s="6" t="s">
        <v>450</v>
      </c>
      <c r="D70" s="47" t="s">
        <v>451</v>
      </c>
      <c r="E70" s="47"/>
      <c r="F70" s="47"/>
    </row>
  </sheetData>
  <mergeCells count="67">
    <mergeCell ref="D4:F4"/>
    <mergeCell ref="A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A25:F25"/>
    <mergeCell ref="D26:F26"/>
    <mergeCell ref="D27:F27"/>
    <mergeCell ref="D28:F28"/>
    <mergeCell ref="D29:F29"/>
    <mergeCell ref="A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A54:F54"/>
    <mergeCell ref="D55:F55"/>
    <mergeCell ref="D56:F56"/>
    <mergeCell ref="D57:F57"/>
    <mergeCell ref="D58:F58"/>
    <mergeCell ref="A59:F59"/>
    <mergeCell ref="D60:F60"/>
    <mergeCell ref="D61:F61"/>
    <mergeCell ref="A62:F62"/>
    <mergeCell ref="D63:F63"/>
    <mergeCell ref="D64:F64"/>
    <mergeCell ref="D65:F65"/>
    <mergeCell ref="D66:F66"/>
    <mergeCell ref="D67:F67"/>
    <mergeCell ref="D68:F68"/>
    <mergeCell ref="D69:F69"/>
    <mergeCell ref="D70:F70"/>
  </mergeCells>
  <hyperlinks>
    <hyperlink ref="D6" r:id="rId1" display="https://www.tricorbraun.com/120-cc-amber-glass-round-packer-bottle-38-400-neck-finish.html"/>
    <hyperlink ref="D7" r:id="rId2" display="https://www.tricorbraun.com/150-cc-amber-glass-round-packer-bottle-45-400-neck-finish-319904.html"/>
    <hyperlink ref="D8" r:id="rId3" display="https://www.tricorbraun.com/200-cc-amber-glass-round-packer-bottle-45-400-neck-finish-319906.html"/>
    <hyperlink ref="D9" r:id="rId4" display="https://www.tricorbraun.com/250-cc-amber-glass-round-packer-bottle-45-400-neck-finish.html"/>
    <hyperlink ref="D10" r:id="rId5" display="https://www.tricorbraun.com/38-400-black-pp-plastic-continuous-thread-closure-f-217-liner.html"/>
    <hyperlink ref="D11" r:id="rId6" display="https://www.tricorbraun.com/45-400-black-pp-plastic-continuous-thread-lined-closure-hs-035-liner.html"/>
    <hyperlink ref="D12" r:id="rId7" display="https://www.containerandpackaging.com/products/glass-packer-bottle/g18118am/"/>
    <hyperlink ref="D13" r:id="rId8" display="https://www.containerandpackaging.com/products/glass-packer-bottle/g18117am/"/>
    <hyperlink ref="D14" r:id="rId9" display="https://www.containerandpackaging.com/products/glass-packer-bottle/g18119am/"/>
    <hyperlink ref="D15" r:id="rId10" display="https://www.sks-bottle.com/340c/fin7552.html"/>
    <hyperlink ref="D16" r:id="rId11" display="https://www.bottlestore.com/120cc-amber-wide-mouth-packer-round-glass-bottle-38-405-neck.html"/>
    <hyperlink ref="D17" r:id="rId12" display="https://www.bottlestore.com/150cc-amber-glass-wide-mouth-round-packer-bottle-round-45-400-neck.html"/>
    <hyperlink ref="D18" r:id="rId13" display="https://www.bottlestore.com/250cc-amber-wide-mouth-round-glass-bottle-45-400.html"/>
    <hyperlink ref="D19" r:id="rId14" display="https://www.specialtybottle.com/glass-bottles/pharma-vitamins/120cc-gpa120b"/>
    <hyperlink ref="D20" r:id="rId15" display="https://www.specialtybottle.com/glass-bottles/pharma-vitamins/250cc-gpa250b"/>
    <hyperlink ref="D21" r:id="rId16" display="https://www.uline.ca/BL_755/Amber-Wide-Mouth-Glass-Jars"/>
    <hyperlink ref="D22" r:id="rId17" display="https://snailglass.en.made-in-china.com/product/jTORWMIxHtYo/China-Wide-Mouth-Medicine-Tablets-Supplement-Bottles-Amber-120cc-150cc-200cc-250cc-300cc-500cc-Round-Glass-Pill-Capsule-Bottle.html"/>
    <hyperlink ref="D23" r:id="rId18" display="https://advantriopackaging.en.made-in-china.com/product/jAmpHKYyCXUB/China-Amber-Glass-Wide-Mouth-Packer-Bottles-Pharmaceutical-Jars-for-Pill-Capsule-Tablet-Medicine.html"/>
    <hyperlink ref="D24" r:id="rId19" display="https://nuohuabaozhuang.en.made-in-china.com/product/OTpRyhFDrKYW/China-Wholesale-100ml-120ml-150ml-200ml-250ml-300ml-Amber-Wide-Mouth-Pharmaceutical-Grade-Glass-Bottle-with-Screw-Cap-for-Pills.html"/>
    <hyperlink ref="D26" r:id="rId20" display="https://snailglass.en.made-in-china.com/product/iJIRHfKEItpO/China-Wholesale-Amber-Frosted-Empty-Wide-Mouth-Glass-Bottle-Medicine-Pill-Bottles.html"/>
    <hyperlink ref="D27" r:id="rId21" display="https://snailglass.en.made-in-china.com/product/MxEYkSFGJRrb/China-100ml-120ml-150ml-250ml-Frosted-Glass-Health-Bottle-Capsule-with-Screw-Lid.html"/>
    <hyperlink ref="D28" r:id="rId22" display="https://advantriopackaging.en.made-in-china.com/product/RtXYDOaMZBUC/China-Wholesale-Empty-Wide-Mouth-Amber-Frosted-Glass-Jar-Pill-Capsule-Bottle-120ml.html"/>
    <hyperlink ref="D29" r:id="rId23" display="https://advantriopackaging.en.made-in-china.com/product/uASYIkaDhBRw/China-Luxury-Custom-Wide-Mouth-200ml-Frosted-Glass-Pill-Bottle-Jar-with-Lid.html"/>
    <hyperlink ref="D31" r:id="rId24" display="https://www.burchbottle.com/4oz-Amber-Straight-Sided-Jar-58-400"/>
    <hyperlink ref="D32" r:id="rId25" display="https://www.burchbottle.com/6oz-Amber-Straight-Sided-Jar-63-400"/>
    <hyperlink ref="D33" r:id="rId26" display="https://www.burchbottle.com/9oz-Amber-Straight-Sided-Jar-70-400"/>
    <hyperlink ref="D34" r:id="rId27" display="https://www.burchbottle.com/70-400-Black-Polypropylene-RM-Ps22-Print-F217-Lined-Cap"/>
    <hyperlink ref="D35" r:id="rId28" display="https://www.fillmorecontainer.com/r04-30c-case24ct-1-12oz.html"/>
    <hyperlink ref="D36" r:id="rId29" display="https://www.fillmorecontainer.com/6-oz-amber-straight-sided-jar-case-of-12.html"/>
    <hyperlink ref="D37" r:id="rId30" display="https://www.fillmorecontainer.com/9-oz-amber-straight-sided-jar.html"/>
    <hyperlink ref="D38" r:id="rId31" display="https://www.containerandpackaging.com/products/glass-straight-sided-jar/g850am/"/>
    <hyperlink ref="D39" r:id="rId32" display="https://www.containerandpackaging.com/products/glass-straight-sided-jar/G506AM/"/>
    <hyperlink ref="D40" r:id="rId33" display="https://www.sks-bottle.com/product/305037.html"/>
    <hyperlink ref="D41" r:id="rId34" display="https://www.sks-bottle.com/product/10710.html"/>
    <hyperlink ref="D42" r:id="rId35" display="https://www.sks-bottle.com/info/free_shipping.html"/>
    <hyperlink ref="D43" r:id="rId36" display="https://www.bottlestore.com/8oz-amber-glass-straight-sided-jar-70-405-neck-finish-24-pack.html"/>
    <hyperlink ref="D44" r:id="rId37" display="https://www.uline.ca/Product/Detail/S-24532"/>
    <hyperlink ref="D45" r:id="rId38" display="https://www.uline.ca/Product/Detail/S-24533"/>
    <hyperlink ref="D46" r:id="rId39" display="https://www.uline.ca/Product/Detail/S-25207"/>
    <hyperlink ref="D47" r:id="rId40" display="https://www.richardspackaging.com/products/4-oz-amber-glass-round-straight-sided-jar-58-400-24-rp-1159a"/>
    <hyperlink ref="D48" r:id="rId41" display="https://www.richardspackaging.com/products/9-oz-amber-glass-straight-sided-jar-70-400-12-rp-1001a"/>
    <hyperlink ref="D49" r:id="rId42" display="https://www.voyageursoapandcandle.com/products/8-oz-amber-glass-jar-with-70-400-neck-1"/>
    <hyperlink ref="D50" r:id="rId43" display="https://daspacking.en.made-in-china.com/product/kZwtFPjdwJWz/China-Wholesale-4oz-8oz-Clear-Amber-Straight-Sided-Empty-Luxury-Glass-Candle-Jar-in-Bulk-with-Lids-for-Candle-Packaging.html"/>
    <hyperlink ref="D51" r:id="rId44" display="https://sincerealpack.en.made-in-china.com/product/SnGRkCBVJTYp/China-30ml-180ml-250ml-4oz-8-Oz-Small-Round-Amber-Glass-Candle-Jar-with-Gold-Black-Metal-Lid.html"/>
    <hyperlink ref="D52" r:id="rId45" display="https://giantpkg.en.made-in-china.com/product/ywitSfBDbAaL/China-15ml-30ml-60ml-90ml-120ml-150ml-180ml-240ml-300ml-Amber-Glass-Jar-Candle-Jar-with-Screw-Cap.html"/>
    <hyperlink ref="D53" r:id="rId46" display="https://xzselead.en.made-in-china.com/product/GamrQSoWqUcX/China-2oz-4oz-6oz-8oz-Amber-Glass-Jar-Straight-Sided-Glass-Candle-Jar-with-Metal-Lid-Clear-Amber-Glass-Storage-Jar-Candle-Holder.html"/>
    <hyperlink ref="D55" r:id="rId47" display="https://daspacking.en.made-in-china.com/product/CdRGEuVYJmpN/China-Wholesale-2oz-4oz-8oz-60g-120g-250g-Frosted-Clear-Amber-Airtight-Straight-Sided-Round-Face-Cosmetic-Cream-Candle-Glass-Jar-and-Container-with-Lids.html"/>
    <hyperlink ref="D56" r:id="rId48" display="https://thebottledepot.co/products/4-oz-amber-frosted-glass-straight-sided-round-jar-58-400-neck-finish"/>
    <hyperlink ref="D57" r:id="rId49" display="https://www.liquidbottles.com/products/4738/9oz-Frosted-Amber-Glass-Jar-70-400-Neck-Finish-72cs"/>
    <hyperlink ref="D58" r:id="rId50" display="https://www.stanpacnet.com/glass-container-printing/"/>
    <hyperlink ref="D60" r:id="rId51" display="https://www.uline.ca/BL_2410/Clear-Shrink-Bands"/>
    <hyperlink ref="D61" r:id="rId52" display="https://www.sks-bottle.com/340c/fin6484.html"/>
    <hyperlink ref="D63" r:id="rId53" display="https://www.cbsa-asfc.gc.ca/trade-commerce/tariff-tarif/2026/01-99/ch70-2026-eng.pdf"/>
    <hyperlink ref="D64" r:id="rId54" display="https://gazette.gc.ca/rp-pr/p2/2026/2026-09-23/html/sor-dors186-eng.html"/>
    <hyperlink ref="D65" r:id="rId55" display="https://www.cbsa-asfc.gc.ca/publications/cn-ad/cn26-23-eng.html"/>
    <hyperlink ref="D66" r:id="rId56" display="https://laws-lois.justice.gc.ca/eng/regulations/SOR-2025-122/FullText.html"/>
    <hyperlink ref="D67" r:id="rId57" display="https://www.sino-shipping.com/country-guides/shipping-from-china-to-canada/"/>
    <hyperlink ref="D68" r:id="rId58" display="https://ddpchain.com/canada/"/>
    <hyperlink ref="D69" r:id="rId59" display="https://clearit.ca/l/customs-broker"/>
    <hyperlink ref="D70" r:id="rId60" display="https://wearewarp.com/research/ltl-rate-benchmark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4"/>
    <col collapsed="false" customWidth="true" hidden="false" outlineLevel="0" max="4" min="4" style="0" width="13"/>
    <col collapsed="false" customWidth="true" hidden="false" outlineLevel="0" max="6" min="5" style="0" width="14"/>
    <col collapsed="false" customWidth="true" hidden="false" outlineLevel="0" max="7" min="7" style="0" width="16"/>
    <col collapsed="false" customWidth="true" hidden="false" outlineLevel="0" max="8" min="8" style="0" width="40"/>
    <col collapsed="false" customWidth="true" hidden="false" outlineLevel="0" max="9" min="9" style="0" width="46"/>
  </cols>
  <sheetData>
    <row r="1" customFormat="false" ht="17.35" hidden="false" customHeight="false" outlineLevel="0" collapsed="false">
      <c r="A1" s="1" t="s">
        <v>452</v>
      </c>
    </row>
    <row r="2" customFormat="false" ht="15" hidden="false" customHeight="false" outlineLevel="0" collapsed="false">
      <c r="A2" s="2" t="s">
        <v>453</v>
      </c>
    </row>
    <row r="3" customFormat="false" ht="31.5" hidden="false" customHeight="true" outlineLevel="0" collapsed="false">
      <c r="A3" s="3" t="s">
        <v>454</v>
      </c>
      <c r="B3" s="3"/>
      <c r="C3" s="3"/>
      <c r="D3" s="3"/>
      <c r="E3" s="3"/>
      <c r="F3" s="3"/>
      <c r="G3" s="3"/>
      <c r="H3" s="3"/>
      <c r="I3" s="3"/>
    </row>
    <row r="5" customFormat="false" ht="15" hidden="false" customHeight="false" outlineLevel="0" collapsed="false">
      <c r="A5" s="17" t="s">
        <v>455</v>
      </c>
      <c r="D5" s="48" t="n">
        <f aca="false">Inputs!$B$15</f>
        <v>3.44</v>
      </c>
      <c r="E5" s="2" t="s">
        <v>456</v>
      </c>
    </row>
    <row r="7" customFormat="false" ht="15" hidden="false" customHeight="false" outlineLevel="0" collapsed="false">
      <c r="A7" s="4" t="s">
        <v>457</v>
      </c>
      <c r="B7" s="4"/>
      <c r="C7" s="4"/>
      <c r="D7" s="4"/>
      <c r="E7" s="4"/>
      <c r="F7" s="4"/>
      <c r="G7" s="4"/>
      <c r="H7" s="4"/>
      <c r="I7" s="4"/>
    </row>
    <row r="8" customFormat="false" ht="30" hidden="false" customHeight="true" outlineLevel="0" collapsed="false">
      <c r="A8" s="7" t="s">
        <v>210</v>
      </c>
      <c r="B8" s="7" t="s">
        <v>17</v>
      </c>
      <c r="C8" s="7" t="s">
        <v>458</v>
      </c>
      <c r="D8" s="7" t="s">
        <v>459</v>
      </c>
      <c r="E8" s="7" t="s">
        <v>460</v>
      </c>
      <c r="F8" s="7" t="s">
        <v>461</v>
      </c>
      <c r="G8" s="7" t="s">
        <v>462</v>
      </c>
      <c r="H8" s="7" t="s">
        <v>463</v>
      </c>
      <c r="I8" s="7" t="s">
        <v>464</v>
      </c>
    </row>
    <row r="9" customFormat="false" ht="51.75" hidden="false" customHeight="true" outlineLevel="0" collapsed="false">
      <c r="A9" s="5" t="s">
        <v>465</v>
      </c>
      <c r="B9" s="5" t="s">
        <v>466</v>
      </c>
      <c r="C9" s="6" t="s">
        <v>467</v>
      </c>
      <c r="D9" s="49" t="n">
        <f aca="false">'Regular Finish – Top 3'!P10</f>
        <v>1.28930222222222</v>
      </c>
      <c r="E9" s="50" t="n">
        <f aca="false">'Regular Finish – Top 3'!S10</f>
        <v>1.64846666666667</v>
      </c>
      <c r="F9" s="51" t="n">
        <f aca="false">'Regular Finish – Top 3'!Q10</f>
        <v>3867.90666666667</v>
      </c>
      <c r="G9" s="6" t="s">
        <v>468</v>
      </c>
      <c r="H9" s="6" t="s">
        <v>469</v>
      </c>
      <c r="I9" s="6" t="s">
        <v>470</v>
      </c>
    </row>
    <row r="10" customFormat="false" ht="51.75" hidden="false" customHeight="true" outlineLevel="0" collapsed="false">
      <c r="A10" s="5" t="s">
        <v>471</v>
      </c>
      <c r="B10" s="5" t="s">
        <v>472</v>
      </c>
      <c r="C10" s="6" t="s">
        <v>467</v>
      </c>
      <c r="D10" s="49" t="n">
        <f aca="false">'Regular Finish – Top 3'!P19</f>
        <v>1.38107111111111</v>
      </c>
      <c r="E10" s="50" t="n">
        <f aca="false">'Regular Finish – Top 3'!S19</f>
        <v>1.779</v>
      </c>
      <c r="F10" s="51" t="n">
        <f aca="false">'Regular Finish – Top 3'!Q19</f>
        <v>4143.21333333333</v>
      </c>
      <c r="G10" s="6" t="s">
        <v>468</v>
      </c>
      <c r="H10" s="6" t="s">
        <v>473</v>
      </c>
      <c r="I10" s="6" t="s">
        <v>474</v>
      </c>
    </row>
    <row r="11" customFormat="false" ht="51.75" hidden="false" customHeight="true" outlineLevel="0" collapsed="false">
      <c r="A11" s="5" t="s">
        <v>475</v>
      </c>
      <c r="B11" s="5" t="s">
        <v>476</v>
      </c>
      <c r="C11" s="6" t="s">
        <v>477</v>
      </c>
      <c r="D11" s="49" t="n">
        <f aca="false">'Regular Finish – Top 3'!P28</f>
        <v>1.32866666666667</v>
      </c>
      <c r="E11" s="50" t="n">
        <f aca="false">'Regular Finish – Top 3'!S28</f>
        <v>1.32866666666667</v>
      </c>
      <c r="F11" s="51" t="n">
        <f aca="false">'Regular Finish – Top 3'!Q28</f>
        <v>3986</v>
      </c>
      <c r="G11" s="6" t="s">
        <v>478</v>
      </c>
      <c r="H11" s="6" t="s">
        <v>479</v>
      </c>
      <c r="I11" s="6" t="s">
        <v>480</v>
      </c>
    </row>
    <row r="13" customFormat="false" ht="15" hidden="false" customHeight="false" outlineLevel="0" collapsed="false">
      <c r="A13" s="4" t="s">
        <v>481</v>
      </c>
      <c r="B13" s="4"/>
      <c r="C13" s="4"/>
      <c r="D13" s="4"/>
      <c r="E13" s="4"/>
      <c r="F13" s="4"/>
      <c r="G13" s="4"/>
      <c r="H13" s="4"/>
      <c r="I13" s="4"/>
    </row>
    <row r="14" customFormat="false" ht="30" hidden="false" customHeight="true" outlineLevel="0" collapsed="false">
      <c r="A14" s="7" t="s">
        <v>210</v>
      </c>
      <c r="B14" s="7" t="s">
        <v>17</v>
      </c>
      <c r="C14" s="7" t="s">
        <v>458</v>
      </c>
      <c r="D14" s="7" t="s">
        <v>459</v>
      </c>
      <c r="E14" s="7" t="s">
        <v>460</v>
      </c>
      <c r="F14" s="7" t="s">
        <v>461</v>
      </c>
      <c r="G14" s="7" t="s">
        <v>462</v>
      </c>
      <c r="H14" s="7" t="s">
        <v>463</v>
      </c>
      <c r="I14" s="7" t="s">
        <v>464</v>
      </c>
    </row>
    <row r="15" customFormat="false" ht="51.75" hidden="false" customHeight="true" outlineLevel="0" collapsed="false">
      <c r="A15" s="5" t="s">
        <v>465</v>
      </c>
      <c r="B15" s="5" t="s">
        <v>482</v>
      </c>
      <c r="C15" s="6" t="s">
        <v>477</v>
      </c>
      <c r="D15" s="49" t="n">
        <f aca="false">'Frosted Finish – Top 3'!P10</f>
        <v>1.42597333333333</v>
      </c>
      <c r="E15" s="50" t="n">
        <f aca="false">'Frosted Finish – Top 3'!S10</f>
        <v>1.42597333333333</v>
      </c>
      <c r="F15" s="51" t="n">
        <f aca="false">'Frosted Finish – Top 3'!Q10</f>
        <v>4277.92</v>
      </c>
      <c r="G15" s="6" t="s">
        <v>478</v>
      </c>
      <c r="H15" s="6" t="s">
        <v>483</v>
      </c>
      <c r="I15" s="6" t="s">
        <v>484</v>
      </c>
    </row>
    <row r="16" customFormat="false" ht="51.75" hidden="false" customHeight="true" outlineLevel="0" collapsed="false">
      <c r="A16" s="5" t="s">
        <v>471</v>
      </c>
      <c r="B16" s="5" t="s">
        <v>485</v>
      </c>
      <c r="C16" s="6" t="s">
        <v>467</v>
      </c>
      <c r="D16" s="49" t="n">
        <f aca="false">'Frosted Finish – Top 3'!P19</f>
        <v>2.48930222222222</v>
      </c>
      <c r="E16" s="50" t="n">
        <f aca="false">'Frosted Finish – Top 3'!S19</f>
        <v>2.84846666666667</v>
      </c>
      <c r="F16" s="51" t="n">
        <f aca="false">'Frosted Finish – Top 3'!Q19</f>
        <v>7467.90666666667</v>
      </c>
      <c r="G16" s="6" t="s">
        <v>486</v>
      </c>
      <c r="H16" s="6" t="s">
        <v>487</v>
      </c>
      <c r="I16" s="6" t="s">
        <v>488</v>
      </c>
    </row>
    <row r="17" customFormat="false" ht="51.75" hidden="false" customHeight="true" outlineLevel="0" collapsed="false">
      <c r="A17" s="5" t="s">
        <v>475</v>
      </c>
      <c r="B17" s="5" t="s">
        <v>489</v>
      </c>
      <c r="C17" s="6" t="s">
        <v>467</v>
      </c>
      <c r="D17" s="49" t="n">
        <f aca="false">'Frosted Finish – Top 3'!P28</f>
        <v>2.58107111111111</v>
      </c>
      <c r="E17" s="50" t="n">
        <f aca="false">'Frosted Finish – Top 3'!S28</f>
        <v>2.979</v>
      </c>
      <c r="F17" s="51" t="n">
        <f aca="false">'Frosted Finish – Top 3'!Q28</f>
        <v>7743.21333333333</v>
      </c>
      <c r="G17" s="6" t="s">
        <v>486</v>
      </c>
      <c r="H17" s="6" t="s">
        <v>490</v>
      </c>
      <c r="I17" s="6" t="s">
        <v>491</v>
      </c>
    </row>
    <row r="19" customFormat="false" ht="15" hidden="false" customHeight="false" outlineLevel="0" collapsed="false">
      <c r="A19" s="4" t="s">
        <v>492</v>
      </c>
      <c r="B19" s="4"/>
      <c r="C19" s="4"/>
      <c r="D19" s="4"/>
      <c r="E19" s="4"/>
      <c r="F19" s="4"/>
      <c r="G19" s="4"/>
      <c r="H19" s="4"/>
      <c r="I19" s="4"/>
    </row>
    <row r="20" customFormat="false" ht="23.85" hidden="false" customHeight="false" outlineLevel="0" collapsed="false">
      <c r="A20" s="7" t="s">
        <v>87</v>
      </c>
      <c r="B20" s="7" t="s">
        <v>493</v>
      </c>
      <c r="C20" s="7"/>
      <c r="D20" s="7" t="s">
        <v>70</v>
      </c>
      <c r="E20" s="7" t="s">
        <v>494</v>
      </c>
      <c r="F20" s="7" t="s">
        <v>495</v>
      </c>
      <c r="G20" s="7" t="s">
        <v>496</v>
      </c>
    </row>
    <row r="21" customFormat="false" ht="15" hidden="false" customHeight="false" outlineLevel="0" collapsed="false">
      <c r="A21" s="37" t="s">
        <v>497</v>
      </c>
      <c r="B21" s="22" t="str">
        <f aca="false">'Split Plan – Local vs China'!B6</f>
        <v>Regular – all local (Burch; 90ct jar size guessed now)</v>
      </c>
      <c r="C21" s="22"/>
      <c r="D21" s="52" t="n">
        <f aca="false">'Split Plan – Local vs China'!C6</f>
        <v>3867.90666666667</v>
      </c>
      <c r="E21" s="53" t="n">
        <f aca="false">'Split Plan – Local vs China'!E6</f>
        <v>4945.4</v>
      </c>
      <c r="F21" s="53" t="n">
        <f aca="false">'Split Plan – Local vs China'!D6</f>
        <v>0</v>
      </c>
      <c r="G21" s="53" t="n">
        <f aca="false">'Split Plan – Local vs China'!F6</f>
        <v>0</v>
      </c>
    </row>
    <row r="22" customFormat="false" ht="15" hidden="false" customHeight="false" outlineLevel="0" collapsed="false">
      <c r="A22" s="54" t="s">
        <v>498</v>
      </c>
      <c r="B22" s="55" t="str">
        <f aca="false">'Split Plan – Local vs China'!B7</f>
        <v>Regular – FLEX: 6 oz local; 90ct is size 00 → 60ct launches</v>
      </c>
      <c r="C22" s="55"/>
      <c r="D22" s="56" t="n">
        <f aca="false">'Split Plan – Local vs China'!C7</f>
        <v>4693.94</v>
      </c>
      <c r="E22" s="56" t="n">
        <f aca="false">'Split Plan – Local vs China'!E7</f>
        <v>4935.13</v>
      </c>
      <c r="F22" s="56" t="n">
        <f aca="false">'Split Plan – Local vs China'!D7</f>
        <v>826.033333333333</v>
      </c>
      <c r="G22" s="56" t="n">
        <f aca="false">'Split Plan – Local vs China'!F7</f>
        <v>-10.2699999999995</v>
      </c>
    </row>
    <row r="23" customFormat="false" ht="15" hidden="false" customHeight="false" outlineLevel="0" collapsed="false">
      <c r="A23" s="54" t="s">
        <v>499</v>
      </c>
      <c r="B23" s="55" t="str">
        <f aca="false">'Split Plan – Local vs China'!B8</f>
        <v>Regular – FLEX: 6 oz local; 90ct is size 0 → 90ct launches</v>
      </c>
      <c r="C23" s="55"/>
      <c r="D23" s="56" t="n">
        <f aca="false">'Split Plan – Local vs China'!C8</f>
        <v>4716.66</v>
      </c>
      <c r="E23" s="56" t="n">
        <f aca="false">'Split Plan – Local vs China'!E8</f>
        <v>4957.85</v>
      </c>
      <c r="F23" s="56" t="n">
        <f aca="false">'Split Plan – Local vs China'!D8</f>
        <v>848.753333333333</v>
      </c>
      <c r="G23" s="56" t="n">
        <f aca="false">'Split Plan – Local vs China'!F8</f>
        <v>12.4499999999998</v>
      </c>
    </row>
    <row r="24" customFormat="false" ht="15" hidden="false" customHeight="false" outlineLevel="0" collapsed="false">
      <c r="A24" s="37" t="s">
        <v>500</v>
      </c>
      <c r="B24" s="22" t="str">
        <f aca="false">'Split Plan – Local vs China'!B9</f>
        <v>Regular – 90ct local (Burch 9 oz), rest China</v>
      </c>
      <c r="C24" s="22"/>
      <c r="D24" s="52" t="n">
        <f aca="false">'Split Plan – Local vs China'!C9</f>
        <v>4576.63333333333</v>
      </c>
      <c r="E24" s="53" t="n">
        <f aca="false">'Split Plan – Local vs China'!E9</f>
        <v>4733.57</v>
      </c>
      <c r="F24" s="53" t="n">
        <f aca="false">'Split Plan – Local vs China'!D9</f>
        <v>708.726666666667</v>
      </c>
      <c r="G24" s="53" t="n">
        <f aca="false">'Split Plan – Local vs China'!F9</f>
        <v>-211.83</v>
      </c>
    </row>
    <row r="25" customFormat="false" ht="15" hidden="false" customHeight="false" outlineLevel="0" collapsed="false">
      <c r="A25" s="37" t="s">
        <v>501</v>
      </c>
      <c r="B25" s="22" t="str">
        <f aca="false">'Split Plan – Local vs China'!B10</f>
        <v>Regular – 90ct local (Richards, Canada), rest China</v>
      </c>
      <c r="C25" s="22"/>
      <c r="D25" s="52" t="n">
        <f aca="false">'Split Plan – Local vs China'!C10</f>
        <v>4217.12</v>
      </c>
      <c r="E25" s="53" t="n">
        <f aca="false">'Split Plan – Local vs China'!E10</f>
        <v>4217.12</v>
      </c>
      <c r="F25" s="53" t="n">
        <f aca="false">'Split Plan – Local vs China'!D10</f>
        <v>349.213333333332</v>
      </c>
      <c r="G25" s="53" t="n">
        <f aca="false">'Split Plan – Local vs China'!F10</f>
        <v>-728.280000000001</v>
      </c>
    </row>
    <row r="26" customFormat="false" ht="15" hidden="false" customHeight="false" outlineLevel="0" collapsed="false">
      <c r="A26" s="37" t="s">
        <v>502</v>
      </c>
      <c r="B26" s="22" t="str">
        <f aca="false">'Split Plan – Local vs China'!B12</f>
        <v>Frosted – all local (Burch + spray frost)</v>
      </c>
      <c r="C26" s="22"/>
      <c r="D26" s="52" t="n">
        <f aca="false">'Split Plan – Local vs China'!C12</f>
        <v>7467.90666666667</v>
      </c>
      <c r="E26" s="53" t="n">
        <f aca="false">'Split Plan – Local vs China'!E12</f>
        <v>8545.4</v>
      </c>
      <c r="F26" s="53" t="n">
        <f aca="false">'Split Plan – Local vs China'!D12</f>
        <v>0</v>
      </c>
      <c r="G26" s="53" t="n">
        <f aca="false">'Split Plan – Local vs China'!F12</f>
        <v>0</v>
      </c>
    </row>
    <row r="27" customFormat="false" ht="15" hidden="false" customHeight="false" outlineLevel="0" collapsed="false">
      <c r="A27" s="54" t="s">
        <v>503</v>
      </c>
      <c r="B27" s="55" t="str">
        <f aca="false">'Split Plan – Local vs China'!B13</f>
        <v>Frosted – FLEX: 6 oz local; 90ct is size 00 → 60ct launches</v>
      </c>
      <c r="C27" s="55"/>
      <c r="D27" s="56" t="n">
        <f aca="false">'Split Plan – Local vs China'!C13</f>
        <v>6075.42</v>
      </c>
      <c r="E27" s="56" t="n">
        <f aca="false">'Split Plan – Local vs China'!E13</f>
        <v>6316.61</v>
      </c>
      <c r="F27" s="56" t="n">
        <f aca="false">'Split Plan – Local vs China'!D13</f>
        <v>-1392.48666666667</v>
      </c>
      <c r="G27" s="56" t="n">
        <f aca="false">'Split Plan – Local vs China'!F13</f>
        <v>-2228.79</v>
      </c>
    </row>
    <row r="28" customFormat="false" ht="15" hidden="false" customHeight="false" outlineLevel="0" collapsed="false">
      <c r="A28" s="54" t="s">
        <v>504</v>
      </c>
      <c r="B28" s="55" t="str">
        <f aca="false">'Split Plan – Local vs China'!B14</f>
        <v>Frosted – FLEX: 6 oz local; 90ct is size 0 → 90ct launches</v>
      </c>
      <c r="C28" s="55"/>
      <c r="D28" s="56" t="n">
        <f aca="false">'Split Plan – Local vs China'!C14</f>
        <v>6091.02</v>
      </c>
      <c r="E28" s="56" t="n">
        <f aca="false">'Split Plan – Local vs China'!E14</f>
        <v>6332.21</v>
      </c>
      <c r="F28" s="56" t="n">
        <f aca="false">'Split Plan – Local vs China'!D14</f>
        <v>-1376.88666666667</v>
      </c>
      <c r="G28" s="56" t="n">
        <f aca="false">'Split Plan – Local vs China'!F14</f>
        <v>-2213.19</v>
      </c>
    </row>
    <row r="29" customFormat="false" ht="15" hidden="false" customHeight="false" outlineLevel="0" collapsed="false">
      <c r="A29" s="37" t="s">
        <v>505</v>
      </c>
      <c r="B29" s="22" t="str">
        <f aca="false">'Split Plan – Local vs China'!B15</f>
        <v>Frosted – 90ct local (Burch 9 oz + spray frost), rest China</v>
      </c>
      <c r="C29" s="22"/>
      <c r="D29" s="52" t="n">
        <f aca="false">'Split Plan – Local vs China'!C15</f>
        <v>5950.99333333333</v>
      </c>
      <c r="E29" s="53" t="n">
        <f aca="false">'Split Plan – Local vs China'!E15</f>
        <v>6107.93</v>
      </c>
      <c r="F29" s="53" t="n">
        <f aca="false">'Split Plan – Local vs China'!D15</f>
        <v>-1516.91333333333</v>
      </c>
      <c r="G29" s="53" t="n">
        <f aca="false">'Split Plan – Local vs China'!F15</f>
        <v>-2437.47</v>
      </c>
    </row>
    <row r="30" customFormat="false" ht="15" hidden="false" customHeight="false" outlineLevel="0" collapsed="false">
      <c r="A30" s="37" t="s">
        <v>506</v>
      </c>
      <c r="B30" s="22" t="str">
        <f aca="false">'Split Plan – Local vs China'!B16</f>
        <v>Frosted – 90ct local (Liquid Bottles stock), rest China</v>
      </c>
      <c r="C30" s="22"/>
      <c r="D30" s="52" t="n">
        <f aca="false">'Split Plan – Local vs China'!C16</f>
        <v>5679.64</v>
      </c>
      <c r="E30" s="53" t="n">
        <f aca="false">'Split Plan – Local vs China'!E16</f>
        <v>6238.56</v>
      </c>
      <c r="F30" s="53" t="n">
        <f aca="false">'Split Plan – Local vs China'!D16</f>
        <v>-1788.26666666667</v>
      </c>
      <c r="G30" s="53" t="n">
        <f aca="false">'Split Plan – Local vs China'!F16</f>
        <v>-2306.84</v>
      </c>
    </row>
    <row r="32" customFormat="false" ht="15" hidden="false" customHeight="false" outlineLevel="0" collapsed="false">
      <c r="A32" s="17" t="s">
        <v>507</v>
      </c>
    </row>
    <row r="33" customFormat="false" ht="15" hidden="false" customHeight="false" outlineLevel="0" collapsed="false">
      <c r="A33" s="17" t="s">
        <v>508</v>
      </c>
    </row>
    <row r="34" customFormat="false" ht="15" hidden="false" customHeight="false" outlineLevel="0" collapsed="false">
      <c r="A34" s="36" t="s">
        <v>509</v>
      </c>
    </row>
    <row r="35" customFormat="false" ht="15" hidden="false" customHeight="false" outlineLevel="0" collapsed="false">
      <c r="A35" s="36" t="s">
        <v>510</v>
      </c>
    </row>
    <row r="36" customFormat="false" ht="15" hidden="false" customHeight="false" outlineLevel="0" collapsed="false">
      <c r="A36" s="36" t="s">
        <v>511</v>
      </c>
    </row>
  </sheetData>
  <mergeCells count="14">
    <mergeCell ref="A3:I3"/>
    <mergeCell ref="A7:I7"/>
    <mergeCell ref="A13:I13"/>
    <mergeCell ref="A19:I19"/>
    <mergeCell ref="B21:C21"/>
    <mergeCell ref="B22:C22"/>
    <mergeCell ref="B23:C23"/>
    <mergeCell ref="B24:C24"/>
    <mergeCell ref="B25:C25"/>
    <mergeCell ref="B26:C26"/>
    <mergeCell ref="B27:C27"/>
    <mergeCell ref="B28:C28"/>
    <mergeCell ref="B29:C29"/>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4"/>
    <col collapsed="false" customWidth="true" hidden="false" outlineLevel="0" max="3" min="3" style="0" width="100"/>
  </cols>
  <sheetData>
    <row r="1" customFormat="false" ht="17.35" hidden="false" customHeight="false" outlineLevel="0" collapsed="false">
      <c r="A1" s="1" t="s">
        <v>512</v>
      </c>
    </row>
    <row r="2" customFormat="false" ht="15" hidden="false" customHeight="false" outlineLevel="0" collapsed="false">
      <c r="A2" s="2" t="s">
        <v>513</v>
      </c>
    </row>
    <row r="4" customFormat="false" ht="15" hidden="false" customHeight="false" outlineLevel="0" collapsed="false">
      <c r="A4" s="17" t="s">
        <v>514</v>
      </c>
    </row>
    <row r="5" customFormat="false" ht="15" hidden="false" customHeight="false" outlineLevel="0" collapsed="false">
      <c r="A5" s="36" t="s">
        <v>515</v>
      </c>
      <c r="B5" s="57" t="n">
        <v>2000</v>
      </c>
      <c r="C5" s="58" t="s">
        <v>516</v>
      </c>
    </row>
    <row r="6" customFormat="false" ht="15" hidden="false" customHeight="false" outlineLevel="0" collapsed="false">
      <c r="A6" s="36" t="s">
        <v>517</v>
      </c>
      <c r="B6" s="57" t="n">
        <v>500</v>
      </c>
      <c r="C6" s="58" t="s">
        <v>518</v>
      </c>
    </row>
    <row r="7" customFormat="false" ht="15" hidden="false" customHeight="false" outlineLevel="0" collapsed="false">
      <c r="A7" s="36" t="s">
        <v>519</v>
      </c>
      <c r="B7" s="57" t="n">
        <v>500</v>
      </c>
      <c r="C7" s="58" t="s">
        <v>518</v>
      </c>
    </row>
    <row r="8" customFormat="false" ht="15" hidden="false" customHeight="false" outlineLevel="0" collapsed="false">
      <c r="A8" s="36" t="s">
        <v>520</v>
      </c>
      <c r="B8" s="59" t="n">
        <f aca="false">$B$5+$B$6+$B$7</f>
        <v>3000</v>
      </c>
      <c r="C8" s="58" t="s">
        <v>521</v>
      </c>
    </row>
    <row r="9" customFormat="false" ht="15" hidden="false" customHeight="false" outlineLevel="0" collapsed="false">
      <c r="A9" s="36" t="s">
        <v>522</v>
      </c>
      <c r="B9" s="60" t="n">
        <v>3</v>
      </c>
      <c r="C9" s="58" t="s">
        <v>523</v>
      </c>
    </row>
    <row r="10" customFormat="false" ht="15" hidden="false" customHeight="false" outlineLevel="0" collapsed="false">
      <c r="A10" s="36" t="s">
        <v>524</v>
      </c>
      <c r="B10" s="40" t="n">
        <v>1.424</v>
      </c>
      <c r="C10" s="58" t="s">
        <v>525</v>
      </c>
    </row>
    <row r="11" customFormat="false" ht="15" hidden="false" customHeight="false" outlineLevel="0" collapsed="false">
      <c r="A11" s="36" t="s">
        <v>526</v>
      </c>
      <c r="B11" s="61" t="n">
        <v>3.74</v>
      </c>
      <c r="C11" s="58" t="s">
        <v>527</v>
      </c>
    </row>
    <row r="12" customFormat="false" ht="15" hidden="false" customHeight="false" outlineLevel="0" collapsed="false">
      <c r="A12" s="36" t="s">
        <v>528</v>
      </c>
      <c r="B12" s="61" t="n">
        <v>0.3</v>
      </c>
      <c r="C12" s="58" t="s">
        <v>529</v>
      </c>
    </row>
    <row r="13" customFormat="false" ht="15" hidden="false" customHeight="false" outlineLevel="0" collapsed="false">
      <c r="A13" s="36" t="s">
        <v>530</v>
      </c>
      <c r="B13" s="24" t="n">
        <f aca="false">$B$11-$B$12</f>
        <v>3.44</v>
      </c>
      <c r="C13" s="58" t="s">
        <v>531</v>
      </c>
    </row>
    <row r="14" customFormat="false" ht="15" hidden="false" customHeight="false" outlineLevel="0" collapsed="false">
      <c r="A14" s="36" t="s">
        <v>532</v>
      </c>
      <c r="B14" s="61"/>
      <c r="C14" s="58" t="s">
        <v>533</v>
      </c>
    </row>
    <row r="15" customFormat="false" ht="15" hidden="false" customHeight="false" outlineLevel="0" collapsed="false">
      <c r="A15" s="36" t="s">
        <v>534</v>
      </c>
      <c r="B15" s="24" t="n">
        <f aca="false">IF($B$14="",$B$13,$B$14)</f>
        <v>3.44</v>
      </c>
      <c r="C15" s="58" t="s">
        <v>535</v>
      </c>
    </row>
    <row r="17" customFormat="false" ht="15" hidden="false" customHeight="false" outlineLevel="0" collapsed="false">
      <c r="A17" s="17" t="s">
        <v>536</v>
      </c>
    </row>
    <row r="18" customFormat="false" ht="22.35" hidden="false" customHeight="false" outlineLevel="0" collapsed="false">
      <c r="A18" s="36" t="s">
        <v>537</v>
      </c>
      <c r="B18" s="62" t="n">
        <v>650</v>
      </c>
      <c r="C18" s="58" t="s">
        <v>538</v>
      </c>
    </row>
    <row r="19" customFormat="false" ht="15" hidden="false" customHeight="false" outlineLevel="0" collapsed="false">
      <c r="A19" s="36" t="s">
        <v>539</v>
      </c>
      <c r="B19" s="62" t="n">
        <v>175</v>
      </c>
      <c r="C19" s="58" t="s">
        <v>540</v>
      </c>
    </row>
    <row r="20" customFormat="false" ht="15" hidden="false" customHeight="false" outlineLevel="0" collapsed="false">
      <c r="A20" s="36" t="s">
        <v>541</v>
      </c>
      <c r="B20" s="62" t="n">
        <v>300</v>
      </c>
      <c r="C20" s="58" t="s">
        <v>542</v>
      </c>
    </row>
    <row r="21" customFormat="false" ht="22.35" hidden="false" customHeight="false" outlineLevel="0" collapsed="false">
      <c r="A21" s="36" t="s">
        <v>543</v>
      </c>
      <c r="B21" s="62" t="n">
        <v>1250</v>
      </c>
      <c r="C21" s="58" t="s">
        <v>544</v>
      </c>
    </row>
    <row r="23" customFormat="false" ht="15" hidden="false" customHeight="false" outlineLevel="0" collapsed="false">
      <c r="A23" s="17" t="s">
        <v>545</v>
      </c>
    </row>
    <row r="24" customFormat="false" ht="15" hidden="false" customHeight="false" outlineLevel="0" collapsed="false">
      <c r="A24" s="36" t="s">
        <v>546</v>
      </c>
      <c r="B24" s="62" t="n">
        <v>400</v>
      </c>
      <c r="C24" s="58" t="s">
        <v>547</v>
      </c>
    </row>
    <row r="25" customFormat="false" ht="15" hidden="false" customHeight="false" outlineLevel="0" collapsed="false">
      <c r="A25" s="36" t="s">
        <v>548</v>
      </c>
      <c r="B25" s="62" t="n">
        <v>125</v>
      </c>
      <c r="C25" s="58" t="s">
        <v>549</v>
      </c>
    </row>
    <row r="26" customFormat="false" ht="15" hidden="false" customHeight="false" outlineLevel="0" collapsed="false">
      <c r="A26" s="36" t="s">
        <v>550</v>
      </c>
      <c r="B26" s="62" t="n">
        <v>150</v>
      </c>
      <c r="C26" s="58" t="s">
        <v>551</v>
      </c>
    </row>
    <row r="27" customFormat="false" ht="15" hidden="false" customHeight="false" outlineLevel="0" collapsed="false">
      <c r="A27" s="36" t="s">
        <v>552</v>
      </c>
      <c r="B27" s="62" t="n">
        <v>1080</v>
      </c>
      <c r="C27" s="58" t="s">
        <v>553</v>
      </c>
    </row>
    <row r="28" customFormat="false" ht="22.35" hidden="false" customHeight="false" outlineLevel="0" collapsed="false">
      <c r="A28" s="36" t="s">
        <v>554</v>
      </c>
      <c r="B28" s="62" t="n">
        <v>1060</v>
      </c>
      <c r="C28" s="58" t="s">
        <v>555</v>
      </c>
    </row>
    <row r="29" customFormat="false" ht="22.35" hidden="false" customHeight="false" outlineLevel="0" collapsed="false">
      <c r="A29" s="36" t="s">
        <v>556</v>
      </c>
      <c r="B29" s="62" t="n">
        <v>870</v>
      </c>
      <c r="C29" s="58" t="s">
        <v>557</v>
      </c>
    </row>
    <row r="30" customFormat="false" ht="15" hidden="false" customHeight="false" outlineLevel="0" collapsed="false">
      <c r="A30" s="36" t="s">
        <v>558</v>
      </c>
      <c r="B30" s="62" t="n">
        <v>600</v>
      </c>
      <c r="C30" s="58" t="s">
        <v>559</v>
      </c>
    </row>
    <row r="32" customFormat="false" ht="15" hidden="false" customHeight="false" outlineLevel="0" collapsed="false">
      <c r="A32" s="17" t="s">
        <v>560</v>
      </c>
    </row>
    <row r="33" customFormat="false" ht="22.35" hidden="false" customHeight="false" outlineLevel="0" collapsed="false">
      <c r="A33" s="36" t="s">
        <v>561</v>
      </c>
      <c r="B33" s="63" t="n">
        <v>0</v>
      </c>
      <c r="C33" s="58" t="s">
        <v>562</v>
      </c>
    </row>
    <row r="34" customFormat="false" ht="32.8" hidden="false" customHeight="false" outlineLevel="0" collapsed="false">
      <c r="A34" s="36" t="s">
        <v>563</v>
      </c>
      <c r="B34" s="63" t="n">
        <v>0.5</v>
      </c>
      <c r="C34" s="58" t="s">
        <v>564</v>
      </c>
    </row>
    <row r="36" customFormat="false" ht="15" hidden="false" customHeight="false" outlineLevel="0" collapsed="false">
      <c r="A36" s="17" t="s">
        <v>565</v>
      </c>
    </row>
    <row r="37" customFormat="false" ht="22.35" hidden="false" customHeight="false" outlineLevel="0" collapsed="false">
      <c r="A37" s="36" t="s">
        <v>566</v>
      </c>
      <c r="B37" s="61" t="n">
        <v>0.45</v>
      </c>
      <c r="C37" s="58" t="s">
        <v>567</v>
      </c>
    </row>
    <row r="38" customFormat="false" ht="15" hidden="false" customHeight="false" outlineLevel="0" collapsed="false">
      <c r="A38" s="36" t="s">
        <v>568</v>
      </c>
      <c r="B38" s="62" t="n">
        <v>650</v>
      </c>
      <c r="C38" s="58" t="s">
        <v>569</v>
      </c>
    </row>
    <row r="39" customFormat="false" ht="15" hidden="false" customHeight="false" outlineLevel="0" collapsed="false">
      <c r="A39" s="36" t="s">
        <v>570</v>
      </c>
      <c r="B39" s="62" t="n">
        <v>300</v>
      </c>
      <c r="C39" s="58"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1" min="2" style="0" width="13"/>
  </cols>
  <sheetData>
    <row r="1" customFormat="false" ht="17.35" hidden="false" customHeight="false" outlineLevel="0" collapsed="false">
      <c r="A1" s="1" t="s">
        <v>572</v>
      </c>
    </row>
    <row r="2" customFormat="false" ht="15" hidden="false" customHeight="false" outlineLevel="0" collapsed="false">
      <c r="A2" s="2" t="s">
        <v>573</v>
      </c>
    </row>
    <row r="4" customFormat="false" ht="15" hidden="false" customHeight="false" outlineLevel="0" collapsed="false">
      <c r="A4" s="17" t="s">
        <v>574</v>
      </c>
    </row>
    <row r="5" customFormat="false" ht="42" hidden="false" customHeight="true" outlineLevel="0" collapsed="false">
      <c r="A5" s="64" t="s">
        <v>575</v>
      </c>
      <c r="B5" s="64" t="s">
        <v>576</v>
      </c>
      <c r="C5" s="64" t="s">
        <v>577</v>
      </c>
      <c r="D5" s="64" t="s">
        <v>578</v>
      </c>
      <c r="E5" s="64" t="s">
        <v>579</v>
      </c>
      <c r="F5" s="64" t="s">
        <v>580</v>
      </c>
    </row>
    <row r="6" customFormat="false" ht="15" hidden="false" customHeight="false" outlineLevel="0" collapsed="false">
      <c r="A6" s="37" t="s">
        <v>581</v>
      </c>
      <c r="B6" s="65" t="n">
        <v>21.7</v>
      </c>
      <c r="C6" s="66" t="n">
        <v>7.65</v>
      </c>
      <c r="D6" s="39" t="n">
        <f aca="false">(PI()*(C6/2)^2*(B6-C6)+4/3*PI()*(C6/2)^3)/1000</f>
        <v>0.88020033593373</v>
      </c>
      <c r="E6" s="67" t="n">
        <f aca="false">D6/$B$10</f>
        <v>1.60036424715224</v>
      </c>
      <c r="F6" s="67" t="n">
        <f aca="false">E6*(1+$B$11)</f>
        <v>1.84041888422507</v>
      </c>
    </row>
    <row r="7" customFormat="false" ht="15" hidden="false" customHeight="false" outlineLevel="0" collapsed="false">
      <c r="A7" s="37" t="s">
        <v>582</v>
      </c>
      <c r="B7" s="65" t="n">
        <v>23.3</v>
      </c>
      <c r="C7" s="66" t="n">
        <v>8.53</v>
      </c>
      <c r="D7" s="39" t="n">
        <f aca="false">(PI()*(C7/2)^2*(B7-C7)+4/3*PI()*(C7/2)^3)/1000</f>
        <v>1.16902234447664</v>
      </c>
      <c r="E7" s="67" t="n">
        <f aca="false">D7/$B$10</f>
        <v>2.1254951717757</v>
      </c>
      <c r="F7" s="67" t="n">
        <f aca="false">E7*(1+$B$11)</f>
        <v>2.44431944754206</v>
      </c>
    </row>
    <row r="9" customFormat="false" ht="15" hidden="false" customHeight="false" outlineLevel="0" collapsed="false">
      <c r="A9" s="17" t="s">
        <v>583</v>
      </c>
    </row>
    <row r="10" customFormat="false" ht="15" hidden="false" customHeight="false" outlineLevel="0" collapsed="false">
      <c r="A10" s="36" t="s">
        <v>584</v>
      </c>
      <c r="B10" s="66" t="n">
        <v>0.55</v>
      </c>
      <c r="C10" s="2" t="s">
        <v>585</v>
      </c>
    </row>
    <row r="11" customFormat="false" ht="15" hidden="false" customHeight="false" outlineLevel="0" collapsed="false">
      <c r="A11" s="36" t="s">
        <v>586</v>
      </c>
      <c r="B11" s="63" t="n">
        <v>0.15</v>
      </c>
      <c r="C11" s="2" t="s">
        <v>587</v>
      </c>
    </row>
    <row r="12" customFormat="false" ht="15" hidden="false" customHeight="false" outlineLevel="0" collapsed="false">
      <c r="A12" s="36" t="s">
        <v>588</v>
      </c>
      <c r="B12" s="63" t="n">
        <v>0.5</v>
      </c>
      <c r="C12" s="2" t="s">
        <v>589</v>
      </c>
    </row>
    <row r="13" customFormat="false" ht="15" hidden="false" customHeight="false" outlineLevel="0" collapsed="false">
      <c r="A13" s="36" t="s">
        <v>590</v>
      </c>
      <c r="B13" s="63" t="n">
        <v>0.9</v>
      </c>
    </row>
    <row r="15" customFormat="false" ht="15" hidden="false" customHeight="false" outlineLevel="0" collapsed="false">
      <c r="A15" s="17" t="s">
        <v>591</v>
      </c>
    </row>
    <row r="16" customFormat="false" ht="15" hidden="false" customHeight="false" outlineLevel="0" collapsed="false">
      <c r="A16" s="44" t="s">
        <v>62</v>
      </c>
      <c r="B16" s="44" t="s">
        <v>592</v>
      </c>
      <c r="C16" s="44" t="s">
        <v>593</v>
      </c>
    </row>
    <row r="17" customFormat="false" ht="15" hidden="false" customHeight="false" outlineLevel="0" collapsed="false">
      <c r="A17" s="37" t="s">
        <v>594</v>
      </c>
      <c r="B17" s="60" t="n">
        <v>118</v>
      </c>
      <c r="C17" s="21" t="s">
        <v>595</v>
      </c>
      <c r="D17" s="2" t="s">
        <v>596</v>
      </c>
    </row>
    <row r="18" customFormat="false" ht="15" hidden="false" customHeight="false" outlineLevel="0" collapsed="false">
      <c r="A18" s="37" t="s">
        <v>597</v>
      </c>
      <c r="B18" s="60" t="n">
        <v>177</v>
      </c>
      <c r="C18" s="21" t="s">
        <v>598</v>
      </c>
    </row>
    <row r="19" customFormat="false" ht="15" hidden="false" customHeight="false" outlineLevel="0" collapsed="false">
      <c r="A19" s="37" t="s">
        <v>599</v>
      </c>
      <c r="B19" s="60" t="n">
        <v>190</v>
      </c>
      <c r="C19" s="21" t="s">
        <v>600</v>
      </c>
    </row>
    <row r="20" customFormat="false" ht="15" hidden="false" customHeight="false" outlineLevel="0" collapsed="false">
      <c r="A20" s="37" t="s">
        <v>601</v>
      </c>
      <c r="B20" s="60" t="n">
        <v>237</v>
      </c>
      <c r="C20" s="21" t="s">
        <v>602</v>
      </c>
    </row>
    <row r="21" customFormat="false" ht="15" hidden="false" customHeight="false" outlineLevel="0" collapsed="false">
      <c r="A21" s="37" t="s">
        <v>603</v>
      </c>
      <c r="B21" s="60" t="n">
        <v>250</v>
      </c>
      <c r="C21" s="21" t="s">
        <v>604</v>
      </c>
    </row>
    <row r="22" customFormat="false" ht="15" hidden="false" customHeight="false" outlineLevel="0" collapsed="false">
      <c r="A22" s="37" t="s">
        <v>605</v>
      </c>
      <c r="B22" s="60" t="n">
        <v>266</v>
      </c>
      <c r="C22" s="21" t="s">
        <v>602</v>
      </c>
    </row>
    <row r="24" customFormat="false" ht="15" hidden="false" customHeight="false" outlineLevel="0" collapsed="false">
      <c r="A24" s="17" t="s">
        <v>606</v>
      </c>
    </row>
    <row r="25" customFormat="false" ht="30" hidden="false" customHeight="true" outlineLevel="0" collapsed="false">
      <c r="A25" s="64" t="s">
        <v>126</v>
      </c>
      <c r="B25" s="64" t="s">
        <v>575</v>
      </c>
      <c r="C25" s="64" t="s">
        <v>607</v>
      </c>
      <c r="D25" s="64" t="s">
        <v>608</v>
      </c>
      <c r="E25" s="64" t="s">
        <v>609</v>
      </c>
      <c r="F25" s="64" t="s">
        <v>594</v>
      </c>
      <c r="G25" s="64" t="s">
        <v>597</v>
      </c>
      <c r="H25" s="64" t="s">
        <v>599</v>
      </c>
      <c r="I25" s="64" t="s">
        <v>601</v>
      </c>
      <c r="J25" s="64" t="s">
        <v>603</v>
      </c>
      <c r="K25" s="64" t="s">
        <v>605</v>
      </c>
    </row>
    <row r="26" customFormat="false" ht="15" hidden="false" customHeight="false" outlineLevel="0" collapsed="false">
      <c r="A26" s="21" t="s">
        <v>137</v>
      </c>
      <c r="B26" s="68" t="s">
        <v>581</v>
      </c>
      <c r="C26" s="60" t="n">
        <v>30</v>
      </c>
      <c r="D26" s="69" t="n">
        <f aca="false">C26*INDEX($E$6:$E$7,MATCH(B26,$A$6:$A$7,0))</f>
        <v>48.0109274145671</v>
      </c>
      <c r="E26" s="69" t="n">
        <f aca="false">C26*INDEX($F$6:$F$7,MATCH(B26,$A$6:$A$7,0))</f>
        <v>55.2125665267522</v>
      </c>
      <c r="F26" s="70" t="n">
        <f aca="false">$D26/$B$17</f>
        <v>0.406872266225145</v>
      </c>
      <c r="G26" s="70" t="n">
        <f aca="false">$D26/$B$18</f>
        <v>0.27124817748343</v>
      </c>
      <c r="H26" s="70" t="n">
        <f aca="false">$D26/$B$19</f>
        <v>0.252689091655616</v>
      </c>
      <c r="I26" s="70" t="n">
        <f aca="false">$D26/$B$20</f>
        <v>0.202577752804081</v>
      </c>
      <c r="J26" s="70" t="n">
        <f aca="false">$D26/$B$21</f>
        <v>0.192043709658268</v>
      </c>
      <c r="K26" s="70" t="n">
        <f aca="false">$D26/$B$22</f>
        <v>0.18049220832544</v>
      </c>
    </row>
    <row r="27" customFormat="false" ht="15" hidden="false" customHeight="false" outlineLevel="0" collapsed="false">
      <c r="A27" s="21" t="s">
        <v>141</v>
      </c>
      <c r="B27" s="68" t="s">
        <v>582</v>
      </c>
      <c r="C27" s="60" t="n">
        <v>60</v>
      </c>
      <c r="D27" s="69" t="n">
        <f aca="false">C27*INDEX($E$6:$E$7,MATCH(B27,$A$6:$A$7,0))</f>
        <v>127.529710306542</v>
      </c>
      <c r="E27" s="69" t="n">
        <f aca="false">C27*INDEX($F$6:$F$7,MATCH(B27,$A$6:$A$7,0))</f>
        <v>146.659166852524</v>
      </c>
      <c r="F27" s="70" t="n">
        <f aca="false">$D27/$B$17</f>
        <v>1.0807602568351</v>
      </c>
      <c r="G27" s="70" t="n">
        <f aca="false">$D27/$B$18</f>
        <v>0.720506837890069</v>
      </c>
      <c r="H27" s="70" t="n">
        <f aca="false">$D27/$B$19</f>
        <v>0.67120900161338</v>
      </c>
      <c r="I27" s="70" t="n">
        <f aca="false">$D27/$B$20</f>
        <v>0.53810004348752</v>
      </c>
      <c r="J27" s="70" t="n">
        <f aca="false">$D27/$B$21</f>
        <v>0.510118841226169</v>
      </c>
      <c r="K27" s="70" t="n">
        <f aca="false">$D27/$B$22</f>
        <v>0.479435001152415</v>
      </c>
    </row>
    <row r="28" customFormat="false" ht="15" hidden="false" customHeight="false" outlineLevel="0" collapsed="false">
      <c r="A28" s="21" t="s">
        <v>139</v>
      </c>
      <c r="B28" s="68" t="s">
        <v>581</v>
      </c>
      <c r="C28" s="60" t="n">
        <v>60</v>
      </c>
      <c r="D28" s="69" t="n">
        <f aca="false">C28*INDEX($E$6:$E$7,MATCH(B28,$A$6:$A$7,0))</f>
        <v>96.0218548291342</v>
      </c>
      <c r="E28" s="69" t="n">
        <f aca="false">C28*INDEX($F$6:$F$7,MATCH(B28,$A$6:$A$7,0))</f>
        <v>110.425133053504</v>
      </c>
      <c r="F28" s="70" t="n">
        <f aca="false">$D28/$B$17</f>
        <v>0.81374453245029</v>
      </c>
      <c r="G28" s="70" t="n">
        <f aca="false">$D28/$B$18</f>
        <v>0.54249635496686</v>
      </c>
      <c r="H28" s="70" t="n">
        <f aca="false">$D28/$B$19</f>
        <v>0.505378183311233</v>
      </c>
      <c r="I28" s="70" t="n">
        <f aca="false">$D28/$B$20</f>
        <v>0.405155505608161</v>
      </c>
      <c r="J28" s="70" t="n">
        <f aca="false">$D28/$B$21</f>
        <v>0.384087419316537</v>
      </c>
      <c r="K28" s="70" t="n">
        <f aca="false">$D28/$B$22</f>
        <v>0.360984416650881</v>
      </c>
    </row>
    <row r="29" customFormat="false" ht="15" hidden="false" customHeight="false" outlineLevel="0" collapsed="false">
      <c r="A29" s="21" t="s">
        <v>145</v>
      </c>
      <c r="B29" s="68" t="s">
        <v>582</v>
      </c>
      <c r="C29" s="60" t="n">
        <v>90</v>
      </c>
      <c r="D29" s="69" t="n">
        <f aca="false">C29*INDEX($E$6:$E$7,MATCH(B29,$A$6:$A$7,0))</f>
        <v>191.294565459813</v>
      </c>
      <c r="E29" s="69" t="n">
        <f aca="false">C29*INDEX($F$6:$F$7,MATCH(B29,$A$6:$A$7,0))</f>
        <v>219.988750278785</v>
      </c>
      <c r="F29" s="70" t="n">
        <f aca="false">$D29/$B$17</f>
        <v>1.62114038525266</v>
      </c>
      <c r="G29" s="70" t="n">
        <f aca="false">$D29/$B$18</f>
        <v>1.0807602568351</v>
      </c>
      <c r="H29" s="70" t="n">
        <f aca="false">$D29/$B$19</f>
        <v>1.00681350242007</v>
      </c>
      <c r="I29" s="70" t="n">
        <f aca="false">$D29/$B$20</f>
        <v>0.80715006523128</v>
      </c>
      <c r="J29" s="70" t="n">
        <f aca="false">$D29/$B$21</f>
        <v>0.765178261839254</v>
      </c>
      <c r="K29" s="70" t="n">
        <f aca="false">$D29/$B$22</f>
        <v>0.719152501728622</v>
      </c>
    </row>
    <row r="30" customFormat="false" ht="15" hidden="false" customHeight="false" outlineLevel="0" collapsed="false">
      <c r="A30" s="21" t="s">
        <v>143</v>
      </c>
      <c r="B30" s="68" t="s">
        <v>581</v>
      </c>
      <c r="C30" s="60" t="n">
        <v>90</v>
      </c>
      <c r="D30" s="69" t="n">
        <f aca="false">C30*INDEX($E$6:$E$7,MATCH(B30,$A$6:$A$7,0))</f>
        <v>144.032782243701</v>
      </c>
      <c r="E30" s="69" t="n">
        <f aca="false">C30*INDEX($F$6:$F$7,MATCH(B30,$A$6:$A$7,0))</f>
        <v>165.637699580256</v>
      </c>
      <c r="F30" s="70" t="n">
        <f aca="false">$D30/$B$17</f>
        <v>1.22061679867543</v>
      </c>
      <c r="G30" s="70" t="n">
        <f aca="false">$D30/$B$18</f>
        <v>0.81374453245029</v>
      </c>
      <c r="H30" s="70" t="n">
        <f aca="false">$D30/$B$19</f>
        <v>0.758067274966849</v>
      </c>
      <c r="I30" s="70" t="n">
        <f aca="false">$D30/$B$20</f>
        <v>0.607733258412242</v>
      </c>
      <c r="J30" s="70" t="n">
        <f aca="false">$D30/$B$21</f>
        <v>0.576131128974805</v>
      </c>
      <c r="K30" s="70" t="n">
        <f aca="false">$D30/$B$22</f>
        <v>0.541476624976321</v>
      </c>
    </row>
    <row r="32" customFormat="false" ht="15" hidden="false" customHeight="false" outlineLevel="0" collapsed="false">
      <c r="A32" s="17" t="s">
        <v>610</v>
      </c>
    </row>
    <row r="33" customFormat="false" ht="30" hidden="false" customHeight="true" outlineLevel="0" collapsed="false">
      <c r="A33" s="64" t="s">
        <v>126</v>
      </c>
      <c r="B33" s="64" t="s">
        <v>575</v>
      </c>
      <c r="C33" s="64" t="s">
        <v>607</v>
      </c>
      <c r="D33" s="64" t="s">
        <v>608</v>
      </c>
      <c r="E33" s="64" t="s">
        <v>609</v>
      </c>
      <c r="F33" s="64" t="s">
        <v>594</v>
      </c>
      <c r="G33" s="64" t="s">
        <v>597</v>
      </c>
      <c r="H33" s="64" t="s">
        <v>599</v>
      </c>
      <c r="I33" s="64" t="s">
        <v>601</v>
      </c>
      <c r="J33" s="64" t="s">
        <v>603</v>
      </c>
      <c r="K33" s="64" t="s">
        <v>605</v>
      </c>
    </row>
    <row r="34" customFormat="false" ht="15" hidden="false" customHeight="false" outlineLevel="0" collapsed="false">
      <c r="A34" s="21" t="s">
        <v>137</v>
      </c>
      <c r="B34" s="68" t="s">
        <v>581</v>
      </c>
      <c r="C34" s="60" t="n">
        <v>30</v>
      </c>
      <c r="D34" s="69" t="n">
        <f aca="false">C34*INDEX($E$6:$E$7,MATCH(B34,$A$6:$A$7,0))</f>
        <v>48.0109274145671</v>
      </c>
      <c r="E34" s="69" t="n">
        <f aca="false">C34*INDEX($F$6:$F$7,MATCH(B34,$A$6:$A$7,0))</f>
        <v>55.2125665267522</v>
      </c>
      <c r="F34" s="21" t="str">
        <f aca="false">IF($E34/$B$17&gt;1,"Too small",IF($D34/$B$17&lt;$B$12,"Looks &lt; half",IF($E34/$B$17&gt;$B$13,"Tight – test","OK")))</f>
        <v>Looks &lt; half</v>
      </c>
      <c r="G34" s="21" t="str">
        <f aca="false">IF($E34/$B$18&gt;1,"Too small",IF($D34/$B$18&lt;$B$12,"Looks &lt; half",IF($E34/$B$18&gt;$B$13,"Tight – test","OK")))</f>
        <v>Looks &lt; half</v>
      </c>
      <c r="H34" s="21" t="str">
        <f aca="false">IF($E34/$B$19&gt;1,"Too small",IF($D34/$B$19&lt;$B$12,"Looks &lt; half",IF($E34/$B$19&gt;$B$13,"Tight – test","OK")))</f>
        <v>Looks &lt; half</v>
      </c>
      <c r="I34" s="21" t="str">
        <f aca="false">IF($E34/$B$20&gt;1,"Too small",IF($D34/$B$20&lt;$B$12,"Looks &lt; half",IF($E34/$B$20&gt;$B$13,"Tight – test","OK")))</f>
        <v>Looks &lt; half</v>
      </c>
      <c r="J34" s="21" t="str">
        <f aca="false">IF($E34/$B$21&gt;1,"Too small",IF($D34/$B$21&lt;$B$12,"Looks &lt; half",IF($E34/$B$21&gt;$B$13,"Tight – test","OK")))</f>
        <v>Looks &lt; half</v>
      </c>
      <c r="K34" s="21" t="str">
        <f aca="false">IF($E34/$B$22&gt;1,"Too small",IF($D34/$B$22&lt;$B$12,"Looks &lt; half",IF($E34/$B$22&gt;$B$13,"Tight – test","OK")))</f>
        <v>Looks &lt; half</v>
      </c>
    </row>
    <row r="35" customFormat="false" ht="15" hidden="false" customHeight="false" outlineLevel="0" collapsed="false">
      <c r="A35" s="21" t="s">
        <v>141</v>
      </c>
      <c r="B35" s="68" t="s">
        <v>582</v>
      </c>
      <c r="C35" s="60" t="n">
        <v>60</v>
      </c>
      <c r="D35" s="69" t="n">
        <f aca="false">C35*INDEX($E$6:$E$7,MATCH(B35,$A$6:$A$7,0))</f>
        <v>127.529710306542</v>
      </c>
      <c r="E35" s="69" t="n">
        <f aca="false">C35*INDEX($F$6:$F$7,MATCH(B35,$A$6:$A$7,0))</f>
        <v>146.659166852524</v>
      </c>
      <c r="F35" s="21" t="str">
        <f aca="false">IF($E35/$B$17&gt;1,"Too small",IF($D35/$B$17&lt;$B$12,"Looks &lt; half",IF($E35/$B$17&gt;$B$13,"Tight – test","OK")))</f>
        <v>Too small</v>
      </c>
      <c r="G35" s="21" t="str">
        <f aca="false">IF($E35/$B$18&gt;1,"Too small",IF($D35/$B$18&lt;$B$12,"Looks &lt; half",IF($E35/$B$18&gt;$B$13,"Tight – test","OK")))</f>
        <v>OK</v>
      </c>
      <c r="H35" s="21" t="str">
        <f aca="false">IF($E35/$B$19&gt;1,"Too small",IF($D35/$B$19&lt;$B$12,"Looks &lt; half",IF($E35/$B$19&gt;$B$13,"Tight – test","OK")))</f>
        <v>OK</v>
      </c>
      <c r="I35" s="21" t="str">
        <f aca="false">IF($E35/$B$20&gt;1,"Too small",IF($D35/$B$20&lt;$B$12,"Looks &lt; half",IF($E35/$B$20&gt;$B$13,"Tight – test","OK")))</f>
        <v>OK</v>
      </c>
      <c r="J35" s="21" t="str">
        <f aca="false">IF($E35/$B$21&gt;1,"Too small",IF($D35/$B$21&lt;$B$12,"Looks &lt; half",IF($E35/$B$21&gt;$B$13,"Tight – test","OK")))</f>
        <v>OK</v>
      </c>
      <c r="K35" s="21" t="str">
        <f aca="false">IF($E35/$B$22&gt;1,"Too small",IF($D35/$B$22&lt;$B$12,"Looks &lt; half",IF($E35/$B$22&gt;$B$13,"Tight – test","OK")))</f>
        <v>Looks &lt; half</v>
      </c>
    </row>
    <row r="36" customFormat="false" ht="15" hidden="false" customHeight="false" outlineLevel="0" collapsed="false">
      <c r="A36" s="21" t="s">
        <v>139</v>
      </c>
      <c r="B36" s="68" t="s">
        <v>581</v>
      </c>
      <c r="C36" s="60" t="n">
        <v>60</v>
      </c>
      <c r="D36" s="69" t="n">
        <f aca="false">C36*INDEX($E$6:$E$7,MATCH(B36,$A$6:$A$7,0))</f>
        <v>96.0218548291342</v>
      </c>
      <c r="E36" s="69" t="n">
        <f aca="false">C36*INDEX($F$6:$F$7,MATCH(B36,$A$6:$A$7,0))</f>
        <v>110.425133053504</v>
      </c>
      <c r="F36" s="21" t="str">
        <f aca="false">IF($E36/$B$17&gt;1,"Too small",IF($D36/$B$17&lt;$B$12,"Looks &lt; half",IF($E36/$B$17&gt;$B$13,"Tight – test","OK")))</f>
        <v>Tight – test</v>
      </c>
      <c r="G36" s="21" t="str">
        <f aca="false">IF($E36/$B$18&gt;1,"Too small",IF($D36/$B$18&lt;$B$12,"Looks &lt; half",IF($E36/$B$18&gt;$B$13,"Tight – test","OK")))</f>
        <v>OK</v>
      </c>
      <c r="H36" s="21" t="str">
        <f aca="false">IF($E36/$B$19&gt;1,"Too small",IF($D36/$B$19&lt;$B$12,"Looks &lt; half",IF($E36/$B$19&gt;$B$13,"Tight – test","OK")))</f>
        <v>OK</v>
      </c>
      <c r="I36" s="21" t="str">
        <f aca="false">IF($E36/$B$20&gt;1,"Too small",IF($D36/$B$20&lt;$B$12,"Looks &lt; half",IF($E36/$B$20&gt;$B$13,"Tight – test","OK")))</f>
        <v>Looks &lt; half</v>
      </c>
      <c r="J36" s="21" t="str">
        <f aca="false">IF($E36/$B$21&gt;1,"Too small",IF($D36/$B$21&lt;$B$12,"Looks &lt; half",IF($E36/$B$21&gt;$B$13,"Tight – test","OK")))</f>
        <v>Looks &lt; half</v>
      </c>
      <c r="K36" s="21" t="str">
        <f aca="false">IF($E36/$B$22&gt;1,"Too small",IF($D36/$B$22&lt;$B$12,"Looks &lt; half",IF($E36/$B$22&gt;$B$13,"Tight – test","OK")))</f>
        <v>Looks &lt; half</v>
      </c>
    </row>
    <row r="37" customFormat="false" ht="15" hidden="false" customHeight="false" outlineLevel="0" collapsed="false">
      <c r="A37" s="21" t="s">
        <v>145</v>
      </c>
      <c r="B37" s="68" t="s">
        <v>582</v>
      </c>
      <c r="C37" s="60" t="n">
        <v>90</v>
      </c>
      <c r="D37" s="69" t="n">
        <f aca="false">C37*INDEX($E$6:$E$7,MATCH(B37,$A$6:$A$7,0))</f>
        <v>191.294565459813</v>
      </c>
      <c r="E37" s="69" t="n">
        <f aca="false">C37*INDEX($F$6:$F$7,MATCH(B37,$A$6:$A$7,0))</f>
        <v>219.988750278785</v>
      </c>
      <c r="F37" s="21" t="str">
        <f aca="false">IF($E37/$B$17&gt;1,"Too small",IF($D37/$B$17&lt;$B$12,"Looks &lt; half",IF($E37/$B$17&gt;$B$13,"Tight – test","OK")))</f>
        <v>Too small</v>
      </c>
      <c r="G37" s="21" t="str">
        <f aca="false">IF($E37/$B$18&gt;1,"Too small",IF($D37/$B$18&lt;$B$12,"Looks &lt; half",IF($E37/$B$18&gt;$B$13,"Tight – test","OK")))</f>
        <v>Too small</v>
      </c>
      <c r="H37" s="21" t="str">
        <f aca="false">IF($E37/$B$19&gt;1,"Too small",IF($D37/$B$19&lt;$B$12,"Looks &lt; half",IF($E37/$B$19&gt;$B$13,"Tight – test","OK")))</f>
        <v>Too small</v>
      </c>
      <c r="I37" s="21" t="str">
        <f aca="false">IF($E37/$B$20&gt;1,"Too small",IF($D37/$B$20&lt;$B$12,"Looks &lt; half",IF($E37/$B$20&gt;$B$13,"Tight – test","OK")))</f>
        <v>Tight – test</v>
      </c>
      <c r="J37" s="21" t="str">
        <f aca="false">IF($E37/$B$21&gt;1,"Too small",IF($D37/$B$21&lt;$B$12,"Looks &lt; half",IF($E37/$B$21&gt;$B$13,"Tight – test","OK")))</f>
        <v>OK</v>
      </c>
      <c r="K37" s="21" t="str">
        <f aca="false">IF($E37/$B$22&gt;1,"Too small",IF($D37/$B$22&lt;$B$12,"Looks &lt; half",IF($E37/$B$22&gt;$B$13,"Tight – test","OK")))</f>
        <v>OK</v>
      </c>
    </row>
    <row r="38" customFormat="false" ht="15" hidden="false" customHeight="false" outlineLevel="0" collapsed="false">
      <c r="A38" s="21" t="s">
        <v>143</v>
      </c>
      <c r="B38" s="68" t="s">
        <v>581</v>
      </c>
      <c r="C38" s="60" t="n">
        <v>90</v>
      </c>
      <c r="D38" s="69" t="n">
        <f aca="false">C38*INDEX($E$6:$E$7,MATCH(B38,$A$6:$A$7,0))</f>
        <v>144.032782243701</v>
      </c>
      <c r="E38" s="69" t="n">
        <f aca="false">C38*INDEX($F$6:$F$7,MATCH(B38,$A$6:$A$7,0))</f>
        <v>165.637699580256</v>
      </c>
      <c r="F38" s="21" t="str">
        <f aca="false">IF($E38/$B$17&gt;1,"Too small",IF($D38/$B$17&lt;$B$12,"Looks &lt; half",IF($E38/$B$17&gt;$B$13,"Tight – test","OK")))</f>
        <v>Too small</v>
      </c>
      <c r="G38" s="21" t="str">
        <f aca="false">IF($E38/$B$18&gt;1,"Too small",IF($D38/$B$18&lt;$B$12,"Looks &lt; half",IF($E38/$B$18&gt;$B$13,"Tight – test","OK")))</f>
        <v>Tight – test</v>
      </c>
      <c r="H38" s="21" t="str">
        <f aca="false">IF($E38/$B$19&gt;1,"Too small",IF($D38/$B$19&lt;$B$12,"Looks &lt; half",IF($E38/$B$19&gt;$B$13,"Tight – test","OK")))</f>
        <v>OK</v>
      </c>
      <c r="I38" s="21" t="str">
        <f aca="false">IF($E38/$B$20&gt;1,"Too small",IF($D38/$B$20&lt;$B$12,"Looks &lt; half",IF($E38/$B$20&gt;$B$13,"Tight – test","OK")))</f>
        <v>OK</v>
      </c>
      <c r="J38" s="21" t="str">
        <f aca="false">IF($E38/$B$21&gt;1,"Too small",IF($D38/$B$21&lt;$B$12,"Looks &lt; half",IF($E38/$B$21&gt;$B$13,"Tight – test","OK")))</f>
        <v>OK</v>
      </c>
      <c r="K38" s="21" t="str">
        <f aca="false">IF($E38/$B$22&gt;1,"Too small",IF($D38/$B$22&lt;$B$12,"Looks &lt; half",IF($E38/$B$22&gt;$B$13,"Tight – test","OK")))</f>
        <v>OK</v>
      </c>
    </row>
    <row r="40" customFormat="false" ht="15" hidden="false" customHeight="false" outlineLevel="0" collapsed="false">
      <c r="A40" s="17" t="s">
        <v>611</v>
      </c>
    </row>
    <row r="41" customFormat="false" ht="15" hidden="false" customHeight="false" outlineLevel="0" collapsed="false">
      <c r="A41" s="36" t="s">
        <v>612</v>
      </c>
    </row>
    <row r="42" customFormat="false" ht="15" hidden="false" customHeight="false" outlineLevel="0" collapsed="false">
      <c r="A42" s="36" t="s">
        <v>613</v>
      </c>
    </row>
    <row r="43" customFormat="false" ht="15" hidden="false" customHeight="false" outlineLevel="0" collapsed="false">
      <c r="A43" s="36" t="s">
        <v>614</v>
      </c>
    </row>
    <row r="44" customFormat="false" ht="15" hidden="false" customHeight="false" outlineLevel="0" collapsed="false">
      <c r="A44" s="36" t="s">
        <v>615</v>
      </c>
    </row>
    <row r="45" customFormat="false" ht="15" hidden="false" customHeight="false" outlineLevel="0" collapsed="false">
      <c r="A45" s="36" t="s">
        <v>616</v>
      </c>
    </row>
    <row r="46" customFormat="false" ht="15" hidden="false" customHeight="false" outlineLevel="0" collapsed="false">
      <c r="A46" s="36" t="s">
        <v>617</v>
      </c>
    </row>
    <row r="47" customFormat="false" ht="15" hidden="false" customHeight="false" outlineLevel="0" collapsed="false">
      <c r="A47" s="36" t="s">
        <v>618</v>
      </c>
    </row>
  </sheetData>
  <conditionalFormatting sqref="F26:K30">
    <cfRule type="cellIs" priority="2" operator="lessThan" aboveAverage="0" equalAverage="0" bottom="0" percent="0" rank="0" text="" dxfId="1">
      <formula>$B$12</formula>
    </cfRule>
    <cfRule type="cellIs" priority="3" operator="greaterThanOrEqual" aboveAverage="0" equalAverage="0" bottom="0" percent="0" rank="0" text="" dxfId="0">
      <formula>$B$12</formula>
    </cfRule>
  </conditionalFormatting>
  <conditionalFormatting sqref="F34:K38">
    <cfRule type="expression" priority="4" aboveAverage="0" equalAverage="0" bottom="0" percent="0" rank="0" text="" dxfId="0">
      <formula>F34="OK"</formula>
    </cfRule>
    <cfRule type="expression" priority="5" aboveAverage="0" equalAverage="0" bottom="0" percent="0" rank="0" text="" dxfId="2">
      <formula>F34="Tight – test"</formula>
    </cfRule>
    <cfRule type="expression" priority="6" aboveAverage="0" equalAverage="0" bottom="0" percent="0" rank="0" text="" dxfId="1">
      <formula>OR(F34="Too small",F34="Looks &lt; half")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8"/>
    <col collapsed="false" customWidth="true" hidden="false" outlineLevel="0" max="6" min="6" style="0" width="9"/>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30"/>
    <col collapsed="false" customWidth="true" hidden="false" outlineLevel="0" max="11" min="11" style="0" width="9"/>
    <col collapsed="false" customWidth="true" hidden="false" outlineLevel="0" max="12" min="12" style="0" width="8"/>
    <col collapsed="false" customWidth="true" hidden="false" outlineLevel="0" max="14" min="13" style="0" width="11"/>
    <col collapsed="false" customWidth="true" hidden="false" outlineLevel="0" max="15" min="15" style="0" width="12"/>
    <col collapsed="false" customWidth="true" hidden="false" outlineLevel="0" max="17" min="16" style="0" width="11"/>
    <col collapsed="false" customWidth="true" hidden="false" outlineLevel="0" max="20" min="18" style="0" width="12"/>
    <col collapsed="false" customWidth="true" hidden="false" outlineLevel="0" max="21" min="21" style="0" width="11"/>
    <col collapsed="false" customWidth="true" hidden="false" outlineLevel="0" max="22" min="22" style="0" width="34"/>
  </cols>
  <sheetData>
    <row r="1" customFormat="false" ht="17.35" hidden="false" customHeight="false" outlineLevel="0" collapsed="false">
      <c r="A1" s="1" t="s">
        <v>619</v>
      </c>
    </row>
    <row r="2" customFormat="false" ht="15" hidden="false" customHeight="false" outlineLevel="0" collapsed="false">
      <c r="A2" s="2" t="s">
        <v>620</v>
      </c>
    </row>
    <row r="4" customFormat="false" ht="15" hidden="false" customHeight="false" outlineLevel="0" collapsed="false">
      <c r="A4" s="4" t="s">
        <v>621</v>
      </c>
      <c r="B4" s="4"/>
      <c r="C4" s="4"/>
      <c r="D4" s="4"/>
      <c r="E4" s="4"/>
      <c r="F4" s="4"/>
      <c r="G4" s="4"/>
      <c r="H4" s="4"/>
      <c r="I4" s="4"/>
      <c r="J4" s="4"/>
      <c r="K4" s="4"/>
      <c r="L4" s="4"/>
      <c r="M4" s="4"/>
      <c r="N4" s="4"/>
      <c r="O4" s="4"/>
      <c r="P4" s="4"/>
      <c r="Q4" s="4"/>
      <c r="R4" s="4"/>
      <c r="S4" s="4"/>
      <c r="T4" s="4"/>
      <c r="U4" s="4"/>
      <c r="V4" s="4"/>
    </row>
    <row r="5" customFormat="false" ht="30" hidden="false" customHeight="true" outlineLevel="0" collapsed="false">
      <c r="A5" s="71" t="s">
        <v>622</v>
      </c>
      <c r="B5" s="71"/>
      <c r="C5" s="71"/>
      <c r="D5" s="71"/>
      <c r="E5" s="71"/>
      <c r="F5" s="71"/>
      <c r="G5" s="71"/>
      <c r="H5" s="71"/>
      <c r="I5" s="71"/>
      <c r="J5" s="71"/>
      <c r="K5" s="71"/>
      <c r="L5" s="71"/>
      <c r="M5" s="71"/>
      <c r="N5" s="71"/>
      <c r="O5" s="71"/>
      <c r="P5" s="71"/>
      <c r="Q5" s="71"/>
      <c r="R5" s="71"/>
      <c r="S5" s="71"/>
      <c r="T5" s="71"/>
      <c r="U5" s="71"/>
      <c r="V5" s="71"/>
    </row>
    <row r="6" customFormat="false" ht="54" hidden="false" customHeight="true" outlineLevel="0" collapsed="false">
      <c r="A6" s="7" t="s">
        <v>623</v>
      </c>
      <c r="B6" s="7" t="s">
        <v>624</v>
      </c>
      <c r="C6" s="7" t="s">
        <v>625</v>
      </c>
      <c r="D6" s="7" t="s">
        <v>626</v>
      </c>
      <c r="E6" s="7" t="s">
        <v>69</v>
      </c>
      <c r="F6" s="7" t="s">
        <v>20</v>
      </c>
      <c r="G6" s="7" t="s">
        <v>627</v>
      </c>
      <c r="H6" s="7" t="s">
        <v>628</v>
      </c>
      <c r="I6" s="7" t="s">
        <v>629</v>
      </c>
      <c r="J6" s="7" t="s">
        <v>630</v>
      </c>
      <c r="K6" s="7" t="s">
        <v>631</v>
      </c>
      <c r="L6" s="7" t="s">
        <v>632</v>
      </c>
      <c r="M6" s="7" t="s">
        <v>633</v>
      </c>
      <c r="N6" s="7" t="s">
        <v>634</v>
      </c>
      <c r="O6" s="7" t="s">
        <v>635</v>
      </c>
      <c r="P6" s="7" t="s">
        <v>157</v>
      </c>
      <c r="Q6" s="7" t="s">
        <v>636</v>
      </c>
      <c r="R6" s="7" t="s">
        <v>637</v>
      </c>
      <c r="S6" s="7" t="s">
        <v>638</v>
      </c>
      <c r="T6" s="7" t="s">
        <v>639</v>
      </c>
      <c r="U6" s="7" t="s">
        <v>640</v>
      </c>
      <c r="V6" s="7" t="s">
        <v>641</v>
      </c>
    </row>
    <row r="7" customFormat="false" ht="23.85" hidden="false" customHeight="false" outlineLevel="0" collapsed="false">
      <c r="A7" s="21" t="s">
        <v>642</v>
      </c>
      <c r="B7" s="37" t="s">
        <v>594</v>
      </c>
      <c r="C7" s="6" t="s">
        <v>643</v>
      </c>
      <c r="D7" s="21" t="s">
        <v>595</v>
      </c>
      <c r="E7" s="26" t="n">
        <f aca="false">Inputs!$B$5</f>
        <v>2000</v>
      </c>
      <c r="F7" s="38" t="s">
        <v>38</v>
      </c>
      <c r="G7" s="72" t="n">
        <v>11.45</v>
      </c>
      <c r="H7" s="60" t="n">
        <v>24</v>
      </c>
      <c r="I7" s="39" t="n">
        <f aca="false">G7/H7</f>
        <v>0.477083333333333</v>
      </c>
      <c r="J7" s="6" t="s">
        <v>644</v>
      </c>
      <c r="K7" s="40" t="n">
        <v>0.14</v>
      </c>
      <c r="L7" s="67" t="n">
        <f aca="false">IF(F7="USD",Inputs!$B$10,1)</f>
        <v>1.424</v>
      </c>
      <c r="M7" s="24" t="n">
        <f aca="false">(I7+K7)*L7*(1+Inputs!$B$33)</f>
        <v>0.878726666666667</v>
      </c>
      <c r="N7" s="24" t="n">
        <v>0</v>
      </c>
      <c r="O7" s="24" t="n">
        <f aca="false">$O$11/SUM($E$7:$E$9)</f>
        <v>0.366866666666667</v>
      </c>
      <c r="P7" s="25" t="n">
        <f aca="false">M7+N7+O7</f>
        <v>1.24559333333333</v>
      </c>
      <c r="Q7" s="27" t="n">
        <f aca="false">P7*E7</f>
        <v>2491.18666666667</v>
      </c>
      <c r="R7" s="24" t="n">
        <f aca="false">I7*L7*Inputs!$B$34</f>
        <v>0.339683333333333</v>
      </c>
      <c r="S7" s="25" t="n">
        <f aca="false">P7+R7</f>
        <v>1.58527666666667</v>
      </c>
      <c r="T7" s="27" t="n">
        <f aca="false">S7*E7</f>
        <v>3170.55333333333</v>
      </c>
      <c r="U7" s="24" t="n">
        <f aca="false">Inputs!$B$15-P7</f>
        <v>2.19440666666667</v>
      </c>
      <c r="V7" s="11" t="s">
        <v>645</v>
      </c>
    </row>
    <row r="8" customFormat="false" ht="22.35" hidden="false" customHeight="false" outlineLevel="0" collapsed="false">
      <c r="A8" s="21" t="s">
        <v>646</v>
      </c>
      <c r="B8" s="37" t="s">
        <v>597</v>
      </c>
      <c r="C8" s="6" t="s">
        <v>647</v>
      </c>
      <c r="D8" s="21" t="s">
        <v>598</v>
      </c>
      <c r="E8" s="26" t="n">
        <f aca="false">Inputs!$B$6</f>
        <v>500</v>
      </c>
      <c r="F8" s="38" t="s">
        <v>38</v>
      </c>
      <c r="G8" s="72" t="n">
        <v>8.13</v>
      </c>
      <c r="H8" s="60" t="n">
        <v>12</v>
      </c>
      <c r="I8" s="39" t="n">
        <f aca="false">G8/H8</f>
        <v>0.6775</v>
      </c>
      <c r="J8" s="6" t="s">
        <v>648</v>
      </c>
      <c r="K8" s="40" t="n">
        <v>0.13</v>
      </c>
      <c r="L8" s="67" t="n">
        <f aca="false">IF(F8="USD",Inputs!$B$10,1)</f>
        <v>1.424</v>
      </c>
      <c r="M8" s="24" t="n">
        <f aca="false">(I8+K8)*L8*(1+Inputs!$B$33)</f>
        <v>1.14988</v>
      </c>
      <c r="N8" s="24" t="n">
        <v>0</v>
      </c>
      <c r="O8" s="24" t="n">
        <f aca="false">$O$11/SUM($E$7:$E$9)</f>
        <v>0.366866666666667</v>
      </c>
      <c r="P8" s="25" t="n">
        <f aca="false">M8+N8+O8</f>
        <v>1.51674666666667</v>
      </c>
      <c r="Q8" s="27" t="n">
        <f aca="false">P8*E8</f>
        <v>758.373333333333</v>
      </c>
      <c r="R8" s="24" t="n">
        <f aca="false">I8*L8*Inputs!$B$34</f>
        <v>0.48238</v>
      </c>
      <c r="S8" s="25" t="n">
        <f aca="false">P8+R8</f>
        <v>1.99912666666667</v>
      </c>
      <c r="T8" s="27" t="n">
        <f aca="false">S8*E8</f>
        <v>999.563333333333</v>
      </c>
      <c r="U8" s="24" t="n">
        <f aca="false">Inputs!$B$15-P8</f>
        <v>1.92325333333333</v>
      </c>
      <c r="V8" s="11" t="s">
        <v>645</v>
      </c>
    </row>
    <row r="9" customFormat="false" ht="23.85" hidden="false" customHeight="false" outlineLevel="0" collapsed="false">
      <c r="A9" s="21" t="s">
        <v>649</v>
      </c>
      <c r="B9" s="37" t="s">
        <v>605</v>
      </c>
      <c r="C9" s="6" t="s">
        <v>650</v>
      </c>
      <c r="D9" s="21" t="s">
        <v>602</v>
      </c>
      <c r="E9" s="26" t="n">
        <f aca="false">Inputs!$B$7</f>
        <v>500</v>
      </c>
      <c r="F9" s="38" t="s">
        <v>38</v>
      </c>
      <c r="G9" s="72" t="n">
        <v>5.29</v>
      </c>
      <c r="H9" s="60" t="n">
        <v>12</v>
      </c>
      <c r="I9" s="39" t="n">
        <f aca="false">G9/H9</f>
        <v>0.440833333333333</v>
      </c>
      <c r="J9" s="6" t="s">
        <v>651</v>
      </c>
      <c r="K9" s="40" t="n">
        <v>0.17</v>
      </c>
      <c r="L9" s="67" t="n">
        <f aca="false">IF(F9="USD",Inputs!$B$10,1)</f>
        <v>1.424</v>
      </c>
      <c r="M9" s="24" t="n">
        <f aca="false">(I9+K9)*L9*(1+Inputs!$B$33)</f>
        <v>0.869826666666667</v>
      </c>
      <c r="N9" s="24" t="n">
        <v>0</v>
      </c>
      <c r="O9" s="24" t="n">
        <f aca="false">$O$11/SUM($E$7:$E$9)</f>
        <v>0.366866666666667</v>
      </c>
      <c r="P9" s="25" t="n">
        <f aca="false">M9+N9+O9</f>
        <v>1.23669333333333</v>
      </c>
      <c r="Q9" s="27" t="n">
        <f aca="false">P9*E9</f>
        <v>618.346666666667</v>
      </c>
      <c r="R9" s="24" t="n">
        <f aca="false">I9*L9*Inputs!$B$34</f>
        <v>0.313873333333333</v>
      </c>
      <c r="S9" s="25" t="n">
        <f aca="false">P9+R9</f>
        <v>1.55056666666667</v>
      </c>
      <c r="T9" s="27" t="n">
        <f aca="false">S9*E9</f>
        <v>775.283333333333</v>
      </c>
      <c r="U9" s="24" t="n">
        <f aca="false">Inputs!$B$15-P9</f>
        <v>2.20330666666667</v>
      </c>
      <c r="V9" s="11" t="s">
        <v>652</v>
      </c>
    </row>
    <row r="10" customFormat="false" ht="15" hidden="false" customHeight="false" outlineLevel="0" collapsed="false">
      <c r="A10" s="28" t="s">
        <v>653</v>
      </c>
      <c r="B10" s="29"/>
      <c r="C10" s="29"/>
      <c r="D10" s="29"/>
      <c r="E10" s="73" t="n">
        <f aca="false">SUM(E7:E9)</f>
        <v>3000</v>
      </c>
      <c r="F10" s="29"/>
      <c r="G10" s="29"/>
      <c r="H10" s="29"/>
      <c r="I10" s="29"/>
      <c r="J10" s="29"/>
      <c r="K10" s="29"/>
      <c r="L10" s="29"/>
      <c r="M10" s="29"/>
      <c r="N10" s="29"/>
      <c r="O10" s="29"/>
      <c r="P10" s="25" t="n">
        <f aca="false">Q10/E10</f>
        <v>1.28930222222222</v>
      </c>
      <c r="Q10" s="30" t="n">
        <f aca="false">SUM(Q7:Q9)</f>
        <v>3867.90666666667</v>
      </c>
      <c r="R10" s="29"/>
      <c r="S10" s="25" t="n">
        <f aca="false">T10/E10</f>
        <v>1.64846666666667</v>
      </c>
      <c r="T10" s="30" t="n">
        <f aca="false">SUM(T7:T9)</f>
        <v>4945.4</v>
      </c>
      <c r="U10" s="25" t="n">
        <f aca="false">Inputs!$B$15-P10</f>
        <v>2.15069777777778</v>
      </c>
      <c r="V10" s="29"/>
    </row>
    <row r="11" customFormat="false" ht="15" hidden="false" customHeight="false" outlineLevel="0" collapsed="false">
      <c r="A11" s="2" t="s">
        <v>654</v>
      </c>
      <c r="O11" s="27" t="n">
        <f aca="false">Inputs!$B$18*Inputs!$B$10+Inputs!$B$19</f>
        <v>1100.6</v>
      </c>
      <c r="P11" s="2" t="s">
        <v>655</v>
      </c>
    </row>
    <row r="13" customFormat="false" ht="15" hidden="false" customHeight="false" outlineLevel="0" collapsed="false">
      <c r="A13" s="4" t="s">
        <v>656</v>
      </c>
      <c r="B13" s="4"/>
      <c r="C13" s="4"/>
      <c r="D13" s="4"/>
      <c r="E13" s="4"/>
      <c r="F13" s="4"/>
      <c r="G13" s="4"/>
      <c r="H13" s="4"/>
      <c r="I13" s="4"/>
      <c r="J13" s="4"/>
      <c r="K13" s="4"/>
      <c r="L13" s="4"/>
      <c r="M13" s="4"/>
      <c r="N13" s="4"/>
      <c r="O13" s="4"/>
      <c r="P13" s="4"/>
      <c r="Q13" s="4"/>
      <c r="R13" s="4"/>
      <c r="S13" s="4"/>
      <c r="T13" s="4"/>
      <c r="U13" s="4"/>
      <c r="V13" s="4"/>
    </row>
    <row r="14" customFormat="false" ht="30" hidden="false" customHeight="true" outlineLevel="0" collapsed="false">
      <c r="A14" s="71" t="s">
        <v>657</v>
      </c>
      <c r="B14" s="71"/>
      <c r="C14" s="71"/>
      <c r="D14" s="71"/>
      <c r="E14" s="71"/>
      <c r="F14" s="71"/>
      <c r="G14" s="71"/>
      <c r="H14" s="71"/>
      <c r="I14" s="71"/>
      <c r="J14" s="71"/>
      <c r="K14" s="71"/>
      <c r="L14" s="71"/>
      <c r="M14" s="71"/>
      <c r="N14" s="71"/>
      <c r="O14" s="71"/>
      <c r="P14" s="71"/>
      <c r="Q14" s="71"/>
      <c r="R14" s="71"/>
      <c r="S14" s="71"/>
      <c r="T14" s="71"/>
      <c r="U14" s="71"/>
      <c r="V14" s="71"/>
    </row>
    <row r="15" customFormat="false" ht="54" hidden="false" customHeight="true" outlineLevel="0" collapsed="false">
      <c r="A15" s="7" t="s">
        <v>623</v>
      </c>
      <c r="B15" s="7" t="s">
        <v>624</v>
      </c>
      <c r="C15" s="7" t="s">
        <v>625</v>
      </c>
      <c r="D15" s="7" t="s">
        <v>626</v>
      </c>
      <c r="E15" s="7" t="s">
        <v>69</v>
      </c>
      <c r="F15" s="7" t="s">
        <v>20</v>
      </c>
      <c r="G15" s="7" t="s">
        <v>627</v>
      </c>
      <c r="H15" s="7" t="s">
        <v>628</v>
      </c>
      <c r="I15" s="7" t="s">
        <v>629</v>
      </c>
      <c r="J15" s="7" t="s">
        <v>630</v>
      </c>
      <c r="K15" s="7" t="s">
        <v>631</v>
      </c>
      <c r="L15" s="7" t="s">
        <v>632</v>
      </c>
      <c r="M15" s="7" t="s">
        <v>633</v>
      </c>
      <c r="N15" s="7" t="s">
        <v>634</v>
      </c>
      <c r="O15" s="7" t="s">
        <v>635</v>
      </c>
      <c r="P15" s="7" t="s">
        <v>157</v>
      </c>
      <c r="Q15" s="7" t="s">
        <v>636</v>
      </c>
      <c r="R15" s="7" t="s">
        <v>637</v>
      </c>
      <c r="S15" s="7" t="s">
        <v>638</v>
      </c>
      <c r="T15" s="7" t="s">
        <v>639</v>
      </c>
      <c r="U15" s="7" t="s">
        <v>640</v>
      </c>
      <c r="V15" s="7" t="s">
        <v>641</v>
      </c>
    </row>
    <row r="16" customFormat="false" ht="22.35" hidden="false" customHeight="false" outlineLevel="0" collapsed="false">
      <c r="A16" s="21" t="s">
        <v>642</v>
      </c>
      <c r="B16" s="37" t="s">
        <v>594</v>
      </c>
      <c r="C16" s="6" t="s">
        <v>658</v>
      </c>
      <c r="D16" s="21" t="s">
        <v>595</v>
      </c>
      <c r="E16" s="26" t="n">
        <f aca="false">Inputs!$B$5</f>
        <v>2000</v>
      </c>
      <c r="F16" s="38" t="s">
        <v>38</v>
      </c>
      <c r="G16" s="72" t="n">
        <v>12.95</v>
      </c>
      <c r="H16" s="60" t="n">
        <v>24</v>
      </c>
      <c r="I16" s="39" t="n">
        <f aca="false">G16/H16</f>
        <v>0.539583333333333</v>
      </c>
      <c r="J16" s="6" t="s">
        <v>659</v>
      </c>
      <c r="K16" s="40" t="n">
        <v>0.125</v>
      </c>
      <c r="L16" s="67" t="n">
        <f aca="false">IF(F16="USD",Inputs!$B$10,1)</f>
        <v>1.424</v>
      </c>
      <c r="M16" s="24" t="n">
        <f aca="false">(I16+K16)*L16*(1+Inputs!$B$33)</f>
        <v>0.946366666666667</v>
      </c>
      <c r="N16" s="24" t="n">
        <v>0</v>
      </c>
      <c r="O16" s="24" t="n">
        <f aca="false">$O$20/SUM($E$16:$E$18)</f>
        <v>0.366866666666667</v>
      </c>
      <c r="P16" s="25" t="n">
        <f aca="false">M16+N16+O16</f>
        <v>1.31323333333333</v>
      </c>
      <c r="Q16" s="27" t="n">
        <f aca="false">P16*E16</f>
        <v>2626.46666666667</v>
      </c>
      <c r="R16" s="24" t="n">
        <f aca="false">I16*L16*Inputs!$B$34</f>
        <v>0.384183333333333</v>
      </c>
      <c r="S16" s="25" t="n">
        <f aca="false">P16+R16</f>
        <v>1.69741666666667</v>
      </c>
      <c r="T16" s="27" t="n">
        <f aca="false">S16*E16</f>
        <v>3394.83333333333</v>
      </c>
      <c r="U16" s="24" t="n">
        <f aca="false">Inputs!$B$15-P16</f>
        <v>2.12676666666667</v>
      </c>
      <c r="V16" s="11" t="s">
        <v>645</v>
      </c>
    </row>
    <row r="17" customFormat="false" ht="23.85" hidden="false" customHeight="false" outlineLevel="0" collapsed="false">
      <c r="A17" s="21" t="s">
        <v>646</v>
      </c>
      <c r="B17" s="37" t="s">
        <v>597</v>
      </c>
      <c r="C17" s="6" t="s">
        <v>660</v>
      </c>
      <c r="D17" s="21" t="s">
        <v>598</v>
      </c>
      <c r="E17" s="26" t="n">
        <f aca="false">Inputs!$B$6</f>
        <v>500</v>
      </c>
      <c r="F17" s="38" t="s">
        <v>38</v>
      </c>
      <c r="G17" s="72" t="n">
        <v>7.99</v>
      </c>
      <c r="H17" s="60" t="n">
        <v>12</v>
      </c>
      <c r="I17" s="39" t="n">
        <f aca="false">G17/H17</f>
        <v>0.665833333333333</v>
      </c>
      <c r="J17" s="6" t="s">
        <v>661</v>
      </c>
      <c r="K17" s="40" t="n">
        <v>0.2</v>
      </c>
      <c r="L17" s="67" t="n">
        <f aca="false">IF(F17="USD",Inputs!$B$10,1)</f>
        <v>1.424</v>
      </c>
      <c r="M17" s="24" t="n">
        <f aca="false">(I17+K17)*L17*(1+Inputs!$B$33)</f>
        <v>1.23294666666667</v>
      </c>
      <c r="N17" s="24" t="n">
        <v>0</v>
      </c>
      <c r="O17" s="24" t="n">
        <f aca="false">$O$20/SUM($E$16:$E$18)</f>
        <v>0.366866666666667</v>
      </c>
      <c r="P17" s="25" t="n">
        <f aca="false">M17+N17+O17</f>
        <v>1.59981333333333</v>
      </c>
      <c r="Q17" s="27" t="n">
        <f aca="false">P17*E17</f>
        <v>799.906666666667</v>
      </c>
      <c r="R17" s="24" t="n">
        <f aca="false">I17*L17*Inputs!$B$34</f>
        <v>0.474073333333333</v>
      </c>
      <c r="S17" s="25" t="n">
        <f aca="false">P17+R17</f>
        <v>2.07388666666667</v>
      </c>
      <c r="T17" s="27" t="n">
        <f aca="false">S17*E17</f>
        <v>1036.94333333333</v>
      </c>
      <c r="U17" s="24" t="n">
        <f aca="false">Inputs!$B$15-P17</f>
        <v>1.84018666666667</v>
      </c>
      <c r="V17" s="11" t="s">
        <v>645</v>
      </c>
    </row>
    <row r="18" customFormat="false" ht="23.85" hidden="false" customHeight="false" outlineLevel="0" collapsed="false">
      <c r="A18" s="21" t="s">
        <v>649</v>
      </c>
      <c r="B18" s="37" t="s">
        <v>605</v>
      </c>
      <c r="C18" s="6" t="s">
        <v>662</v>
      </c>
      <c r="D18" s="21" t="s">
        <v>602</v>
      </c>
      <c r="E18" s="26" t="n">
        <f aca="false">Inputs!$B$7</f>
        <v>500</v>
      </c>
      <c r="F18" s="38" t="s">
        <v>38</v>
      </c>
      <c r="G18" s="72" t="n">
        <v>6.35</v>
      </c>
      <c r="H18" s="60" t="n">
        <v>12</v>
      </c>
      <c r="I18" s="39" t="n">
        <f aca="false">G18/H18</f>
        <v>0.529166666666667</v>
      </c>
      <c r="J18" s="6" t="s">
        <v>663</v>
      </c>
      <c r="K18" s="40" t="n">
        <v>0.22</v>
      </c>
      <c r="L18" s="67" t="n">
        <f aca="false">IF(F18="USD",Inputs!$B$10,1)</f>
        <v>1.424</v>
      </c>
      <c r="M18" s="24" t="n">
        <f aca="false">(I18+K18)*L18*(1+Inputs!$B$33)</f>
        <v>1.06681333333333</v>
      </c>
      <c r="N18" s="24" t="n">
        <v>0</v>
      </c>
      <c r="O18" s="24" t="n">
        <f aca="false">$O$20/SUM($E$16:$E$18)</f>
        <v>0.366866666666667</v>
      </c>
      <c r="P18" s="25" t="n">
        <f aca="false">M18+N18+O18</f>
        <v>1.43368</v>
      </c>
      <c r="Q18" s="27" t="n">
        <f aca="false">P18*E18</f>
        <v>716.84</v>
      </c>
      <c r="R18" s="24" t="n">
        <f aca="false">I18*L18*Inputs!$B$34</f>
        <v>0.376766666666667</v>
      </c>
      <c r="S18" s="25" t="n">
        <f aca="false">P18+R18</f>
        <v>1.81044666666667</v>
      </c>
      <c r="T18" s="27" t="n">
        <f aca="false">S18*E18</f>
        <v>905.223333333333</v>
      </c>
      <c r="U18" s="24" t="n">
        <f aca="false">Inputs!$B$15-P18</f>
        <v>2.00632</v>
      </c>
      <c r="V18" s="11" t="s">
        <v>645</v>
      </c>
    </row>
    <row r="19" customFormat="false" ht="15" hidden="false" customHeight="false" outlineLevel="0" collapsed="false">
      <c r="A19" s="28" t="s">
        <v>653</v>
      </c>
      <c r="B19" s="29"/>
      <c r="C19" s="29"/>
      <c r="D19" s="29"/>
      <c r="E19" s="73" t="n">
        <f aca="false">SUM(E16:E18)</f>
        <v>3000</v>
      </c>
      <c r="F19" s="29"/>
      <c r="G19" s="29"/>
      <c r="H19" s="29"/>
      <c r="I19" s="29"/>
      <c r="J19" s="29"/>
      <c r="K19" s="29"/>
      <c r="L19" s="29"/>
      <c r="M19" s="29"/>
      <c r="N19" s="29"/>
      <c r="O19" s="29"/>
      <c r="P19" s="25" t="n">
        <f aca="false">Q19/E19</f>
        <v>1.38107111111111</v>
      </c>
      <c r="Q19" s="30" t="n">
        <f aca="false">SUM(Q16:Q18)</f>
        <v>4143.21333333333</v>
      </c>
      <c r="R19" s="29"/>
      <c r="S19" s="25" t="n">
        <f aca="false">T19/E19</f>
        <v>1.779</v>
      </c>
      <c r="T19" s="30" t="n">
        <f aca="false">SUM(T16:T18)</f>
        <v>5337</v>
      </c>
      <c r="U19" s="25" t="n">
        <f aca="false">Inputs!$B$15-P19</f>
        <v>2.05892888888889</v>
      </c>
      <c r="V19" s="29"/>
    </row>
    <row r="20" customFormat="false" ht="15" hidden="false" customHeight="false" outlineLevel="0" collapsed="false">
      <c r="A20" s="2" t="s">
        <v>654</v>
      </c>
      <c r="O20" s="27" t="n">
        <f aca="false">Inputs!$B$18*Inputs!$B$10+Inputs!$B$19</f>
        <v>1100.6</v>
      </c>
      <c r="P20" s="2" t="s">
        <v>655</v>
      </c>
    </row>
    <row r="22" customFormat="false" ht="15" hidden="false" customHeight="false" outlineLevel="0" collapsed="false">
      <c r="A22" s="4" t="s">
        <v>664</v>
      </c>
      <c r="B22" s="4"/>
      <c r="C22" s="4"/>
      <c r="D22" s="4"/>
      <c r="E22" s="4"/>
      <c r="F22" s="4"/>
      <c r="G22" s="4"/>
      <c r="H22" s="4"/>
      <c r="I22" s="4"/>
      <c r="J22" s="4"/>
      <c r="K22" s="4"/>
      <c r="L22" s="4"/>
      <c r="M22" s="4"/>
      <c r="N22" s="4"/>
      <c r="O22" s="4"/>
      <c r="P22" s="4"/>
      <c r="Q22" s="4"/>
      <c r="R22" s="4"/>
      <c r="S22" s="4"/>
      <c r="T22" s="4"/>
      <c r="U22" s="4"/>
      <c r="V22" s="4"/>
    </row>
    <row r="23" customFormat="false" ht="30" hidden="false" customHeight="true" outlineLevel="0" collapsed="false">
      <c r="A23" s="71" t="s">
        <v>665</v>
      </c>
      <c r="B23" s="71"/>
      <c r="C23" s="71"/>
      <c r="D23" s="71"/>
      <c r="E23" s="71"/>
      <c r="F23" s="71"/>
      <c r="G23" s="71"/>
      <c r="H23" s="71"/>
      <c r="I23" s="71"/>
      <c r="J23" s="71"/>
      <c r="K23" s="71"/>
      <c r="L23" s="71"/>
      <c r="M23" s="71"/>
      <c r="N23" s="71"/>
      <c r="O23" s="71"/>
      <c r="P23" s="71"/>
      <c r="Q23" s="71"/>
      <c r="R23" s="71"/>
      <c r="S23" s="71"/>
      <c r="T23" s="71"/>
      <c r="U23" s="71"/>
      <c r="V23" s="71"/>
    </row>
    <row r="24" customFormat="false" ht="54" hidden="false" customHeight="true" outlineLevel="0" collapsed="false">
      <c r="A24" s="7" t="s">
        <v>623</v>
      </c>
      <c r="B24" s="7" t="s">
        <v>624</v>
      </c>
      <c r="C24" s="7" t="s">
        <v>625</v>
      </c>
      <c r="D24" s="7" t="s">
        <v>626</v>
      </c>
      <c r="E24" s="7" t="s">
        <v>69</v>
      </c>
      <c r="F24" s="7" t="s">
        <v>20</v>
      </c>
      <c r="G24" s="7" t="s">
        <v>627</v>
      </c>
      <c r="H24" s="7" t="s">
        <v>628</v>
      </c>
      <c r="I24" s="7" t="s">
        <v>629</v>
      </c>
      <c r="J24" s="7" t="s">
        <v>630</v>
      </c>
      <c r="K24" s="7" t="s">
        <v>631</v>
      </c>
      <c r="L24" s="7" t="s">
        <v>632</v>
      </c>
      <c r="M24" s="7" t="s">
        <v>633</v>
      </c>
      <c r="N24" s="7" t="s">
        <v>634</v>
      </c>
      <c r="O24" s="7" t="s">
        <v>635</v>
      </c>
      <c r="P24" s="7" t="s">
        <v>157</v>
      </c>
      <c r="Q24" s="7" t="s">
        <v>636</v>
      </c>
      <c r="R24" s="7" t="s">
        <v>637</v>
      </c>
      <c r="S24" s="7" t="s">
        <v>638</v>
      </c>
      <c r="T24" s="7" t="s">
        <v>639</v>
      </c>
      <c r="U24" s="7" t="s">
        <v>640</v>
      </c>
      <c r="V24" s="7" t="s">
        <v>641</v>
      </c>
    </row>
    <row r="25" customFormat="false" ht="35.05" hidden="false" customHeight="false" outlineLevel="0" collapsed="false">
      <c r="A25" s="21" t="s">
        <v>642</v>
      </c>
      <c r="B25" s="37" t="s">
        <v>666</v>
      </c>
      <c r="C25" s="6" t="s">
        <v>667</v>
      </c>
      <c r="D25" s="21" t="s">
        <v>668</v>
      </c>
      <c r="E25" s="26" t="n">
        <f aca="false">Inputs!$B$5</f>
        <v>2000</v>
      </c>
      <c r="F25" s="38" t="s">
        <v>38</v>
      </c>
      <c r="G25" s="41" t="s">
        <v>669</v>
      </c>
      <c r="H25" s="60"/>
      <c r="I25" s="40" t="n">
        <v>0.42</v>
      </c>
      <c r="J25" s="6" t="s">
        <v>670</v>
      </c>
      <c r="K25" s="40" t="n">
        <v>0.07</v>
      </c>
      <c r="L25" s="67" t="n">
        <f aca="false">IF(F25="USD",Inputs!$B$10,1)</f>
        <v>1.424</v>
      </c>
      <c r="M25" s="24" t="n">
        <f aca="false">(I25+K25)*L25*(1+Inputs!$B$33)</f>
        <v>0.69776</v>
      </c>
      <c r="N25" s="24" t="n">
        <v>0</v>
      </c>
      <c r="O25" s="24" t="n">
        <f aca="false">$O$29/SUM($E$25:$E$27)</f>
        <v>0.616666666666667</v>
      </c>
      <c r="P25" s="25" t="n">
        <f aca="false">M25+N25+O25</f>
        <v>1.31442666666667</v>
      </c>
      <c r="Q25" s="27" t="n">
        <f aca="false">P25*E25</f>
        <v>2628.85333333333</v>
      </c>
      <c r="R25" s="24" t="n">
        <v>0</v>
      </c>
      <c r="S25" s="25" t="n">
        <f aca="false">P25+R25</f>
        <v>1.31442666666667</v>
      </c>
      <c r="T25" s="27" t="n">
        <f aca="false">S25*E25</f>
        <v>2628.85333333333</v>
      </c>
      <c r="U25" s="24" t="n">
        <f aca="false">Inputs!$B$15-P25</f>
        <v>2.12557333333333</v>
      </c>
      <c r="V25" s="11" t="s">
        <v>671</v>
      </c>
    </row>
    <row r="26" customFormat="false" ht="35.05" hidden="false" customHeight="false" outlineLevel="0" collapsed="false">
      <c r="A26" s="21" t="s">
        <v>646</v>
      </c>
      <c r="B26" s="37" t="s">
        <v>672</v>
      </c>
      <c r="C26" s="6" t="s">
        <v>673</v>
      </c>
      <c r="D26" s="21" t="s">
        <v>674</v>
      </c>
      <c r="E26" s="26" t="n">
        <f aca="false">Inputs!$B$6</f>
        <v>500</v>
      </c>
      <c r="F26" s="38" t="s">
        <v>38</v>
      </c>
      <c r="G26" s="41" t="s">
        <v>669</v>
      </c>
      <c r="H26" s="60"/>
      <c r="I26" s="40" t="n">
        <v>0.48</v>
      </c>
      <c r="J26" s="6" t="s">
        <v>675</v>
      </c>
      <c r="K26" s="40" t="n">
        <v>0.07</v>
      </c>
      <c r="L26" s="67" t="n">
        <f aca="false">IF(F26="USD",Inputs!$B$10,1)</f>
        <v>1.424</v>
      </c>
      <c r="M26" s="24" t="n">
        <f aca="false">(I26+K26)*L26*(1+Inputs!$B$33)</f>
        <v>0.7832</v>
      </c>
      <c r="N26" s="24" t="n">
        <v>0</v>
      </c>
      <c r="O26" s="24" t="n">
        <f aca="false">$O$29/SUM($E$25:$E$27)</f>
        <v>0.616666666666667</v>
      </c>
      <c r="P26" s="25" t="n">
        <f aca="false">M26+N26+O26</f>
        <v>1.39986666666667</v>
      </c>
      <c r="Q26" s="27" t="n">
        <f aca="false">P26*E26</f>
        <v>699.933333333333</v>
      </c>
      <c r="R26" s="24" t="n">
        <v>0</v>
      </c>
      <c r="S26" s="25" t="n">
        <f aca="false">P26+R26</f>
        <v>1.39986666666667</v>
      </c>
      <c r="T26" s="27" t="n">
        <f aca="false">S26*E26</f>
        <v>699.933333333333</v>
      </c>
      <c r="U26" s="24" t="n">
        <f aca="false">Inputs!$B$15-P26</f>
        <v>2.04013333333333</v>
      </c>
      <c r="V26" s="11" t="s">
        <v>676</v>
      </c>
    </row>
    <row r="27" customFormat="false" ht="35.05" hidden="false" customHeight="false" outlineLevel="0" collapsed="false">
      <c r="A27" s="21" t="s">
        <v>649</v>
      </c>
      <c r="B27" s="37" t="s">
        <v>193</v>
      </c>
      <c r="C27" s="6" t="s">
        <v>677</v>
      </c>
      <c r="D27" s="21" t="s">
        <v>602</v>
      </c>
      <c r="E27" s="26" t="n">
        <f aca="false">Inputs!$B$7</f>
        <v>500</v>
      </c>
      <c r="F27" s="38" t="s">
        <v>38</v>
      </c>
      <c r="G27" s="41" t="s">
        <v>669</v>
      </c>
      <c r="H27" s="60"/>
      <c r="I27" s="40" t="n">
        <v>0.42</v>
      </c>
      <c r="J27" s="6" t="s">
        <v>675</v>
      </c>
      <c r="K27" s="40" t="n">
        <v>0.07</v>
      </c>
      <c r="L27" s="67" t="n">
        <f aca="false">IF(F27="USD",Inputs!$B$10,1)</f>
        <v>1.424</v>
      </c>
      <c r="M27" s="24" t="n">
        <f aca="false">(I27+K27)*L27*(1+Inputs!$B$33)</f>
        <v>0.69776</v>
      </c>
      <c r="N27" s="24" t="n">
        <v>0</v>
      </c>
      <c r="O27" s="24" t="n">
        <f aca="false">$O$29/SUM($E$25:$E$27)</f>
        <v>0.616666666666667</v>
      </c>
      <c r="P27" s="25" t="n">
        <f aca="false">M27+N27+O27</f>
        <v>1.31442666666667</v>
      </c>
      <c r="Q27" s="27" t="n">
        <f aca="false">P27*E27</f>
        <v>657.213333333333</v>
      </c>
      <c r="R27" s="24" t="n">
        <v>0</v>
      </c>
      <c r="S27" s="25" t="n">
        <f aca="false">P27+R27</f>
        <v>1.31442666666667</v>
      </c>
      <c r="T27" s="27" t="n">
        <f aca="false">S27*E27</f>
        <v>657.213333333333</v>
      </c>
      <c r="U27" s="24" t="n">
        <f aca="false">Inputs!$B$15-P27</f>
        <v>2.12557333333333</v>
      </c>
      <c r="V27" s="11" t="s">
        <v>678</v>
      </c>
    </row>
    <row r="28" customFormat="false" ht="15" hidden="false" customHeight="false" outlineLevel="0" collapsed="false">
      <c r="A28" s="28" t="s">
        <v>653</v>
      </c>
      <c r="B28" s="29"/>
      <c r="C28" s="29"/>
      <c r="D28" s="29"/>
      <c r="E28" s="73" t="n">
        <f aca="false">SUM(E25:E27)</f>
        <v>3000</v>
      </c>
      <c r="F28" s="29"/>
      <c r="G28" s="29"/>
      <c r="H28" s="29"/>
      <c r="I28" s="29"/>
      <c r="J28" s="29"/>
      <c r="K28" s="29"/>
      <c r="L28" s="29"/>
      <c r="M28" s="29"/>
      <c r="N28" s="29"/>
      <c r="O28" s="29"/>
      <c r="P28" s="25" t="n">
        <f aca="false">Q28/E28</f>
        <v>1.32866666666667</v>
      </c>
      <c r="Q28" s="30" t="n">
        <f aca="false">SUM(Q25:Q27)</f>
        <v>3986</v>
      </c>
      <c r="R28" s="29"/>
      <c r="S28" s="25" t="n">
        <f aca="false">T28/E28</f>
        <v>1.32866666666667</v>
      </c>
      <c r="T28" s="30" t="n">
        <f aca="false">SUM(T25:T27)</f>
        <v>3986</v>
      </c>
      <c r="U28" s="25" t="n">
        <f aca="false">Inputs!$B$15-P28</f>
        <v>2.11133333333333</v>
      </c>
      <c r="V28" s="29"/>
    </row>
    <row r="29" customFormat="false" ht="15" hidden="false" customHeight="false" outlineLevel="0" collapsed="false">
      <c r="A29" s="2" t="s">
        <v>654</v>
      </c>
      <c r="O29" s="27" t="n">
        <f aca="false">Inputs!$B$21+Inputs!$B$30</f>
        <v>1850</v>
      </c>
      <c r="P29" s="2" t="s">
        <v>679</v>
      </c>
    </row>
    <row r="31" customFormat="false" ht="15" hidden="false" customHeight="false" outlineLevel="0" collapsed="false">
      <c r="A31" s="4" t="s">
        <v>680</v>
      </c>
      <c r="B31" s="4"/>
      <c r="C31" s="4"/>
      <c r="D31" s="4"/>
      <c r="E31" s="4"/>
      <c r="F31" s="4"/>
      <c r="G31" s="4"/>
      <c r="H31" s="4"/>
      <c r="I31" s="4"/>
      <c r="J31" s="4"/>
      <c r="K31" s="4"/>
      <c r="L31" s="4"/>
      <c r="M31" s="4"/>
      <c r="N31" s="4"/>
      <c r="O31" s="4"/>
      <c r="P31" s="4"/>
      <c r="Q31" s="4"/>
      <c r="R31" s="4"/>
      <c r="S31" s="4"/>
      <c r="T31" s="4"/>
      <c r="U31" s="4"/>
      <c r="V31" s="4"/>
    </row>
    <row r="32" customFormat="false" ht="30" hidden="false" customHeight="true" outlineLevel="0" collapsed="false">
      <c r="A32" s="71" t="s">
        <v>681</v>
      </c>
      <c r="B32" s="71"/>
      <c r="C32" s="71"/>
      <c r="D32" s="71"/>
      <c r="E32" s="71"/>
      <c r="F32" s="71"/>
      <c r="G32" s="71"/>
      <c r="H32" s="71"/>
      <c r="I32" s="71"/>
      <c r="J32" s="71"/>
      <c r="K32" s="71"/>
      <c r="L32" s="71"/>
      <c r="M32" s="71"/>
      <c r="N32" s="71"/>
      <c r="O32" s="71"/>
      <c r="P32" s="71"/>
      <c r="Q32" s="71"/>
      <c r="R32" s="71"/>
      <c r="S32" s="71"/>
      <c r="T32" s="71"/>
      <c r="U32" s="71"/>
      <c r="V32" s="71"/>
    </row>
    <row r="33" customFormat="false" ht="54" hidden="false" customHeight="true" outlineLevel="0" collapsed="false">
      <c r="A33" s="7" t="s">
        <v>623</v>
      </c>
      <c r="B33" s="7" t="s">
        <v>624</v>
      </c>
      <c r="C33" s="7" t="s">
        <v>625</v>
      </c>
      <c r="D33" s="7" t="s">
        <v>626</v>
      </c>
      <c r="E33" s="7" t="s">
        <v>69</v>
      </c>
      <c r="F33" s="7" t="s">
        <v>20</v>
      </c>
      <c r="G33" s="7" t="s">
        <v>627</v>
      </c>
      <c r="H33" s="7" t="s">
        <v>628</v>
      </c>
      <c r="I33" s="7" t="s">
        <v>629</v>
      </c>
      <c r="J33" s="7" t="s">
        <v>630</v>
      </c>
      <c r="K33" s="7" t="s">
        <v>631</v>
      </c>
      <c r="L33" s="7" t="s">
        <v>632</v>
      </c>
      <c r="M33" s="7" t="s">
        <v>633</v>
      </c>
      <c r="N33" s="7" t="s">
        <v>634</v>
      </c>
      <c r="O33" s="7" t="s">
        <v>635</v>
      </c>
      <c r="P33" s="7" t="s">
        <v>157</v>
      </c>
      <c r="Q33" s="7" t="s">
        <v>636</v>
      </c>
      <c r="R33" s="7" t="s">
        <v>637</v>
      </c>
      <c r="S33" s="7" t="s">
        <v>638</v>
      </c>
      <c r="T33" s="7" t="s">
        <v>639</v>
      </c>
      <c r="U33" s="7" t="s">
        <v>640</v>
      </c>
      <c r="V33" s="7" t="s">
        <v>641</v>
      </c>
    </row>
    <row r="34" customFormat="false" ht="23.85" hidden="false" customHeight="false" outlineLevel="0" collapsed="false">
      <c r="A34" s="21" t="s">
        <v>642</v>
      </c>
      <c r="B34" s="37" t="s">
        <v>594</v>
      </c>
      <c r="C34" s="6" t="s">
        <v>682</v>
      </c>
      <c r="D34" s="21" t="s">
        <v>595</v>
      </c>
      <c r="E34" s="26" t="n">
        <f aca="false">Inputs!$B$5</f>
        <v>2000</v>
      </c>
      <c r="F34" s="38" t="s">
        <v>46</v>
      </c>
      <c r="G34" s="41" t="s">
        <v>669</v>
      </c>
      <c r="H34" s="60" t="n">
        <v>24</v>
      </c>
      <c r="I34" s="40" t="n">
        <v>0.96</v>
      </c>
      <c r="J34" s="6" t="s">
        <v>683</v>
      </c>
      <c r="K34" s="40" t="n">
        <v>0.5</v>
      </c>
      <c r="L34" s="67" t="n">
        <f aca="false">IF(F34="USD",Inputs!$B$10,1)</f>
        <v>1</v>
      </c>
      <c r="M34" s="24" t="n">
        <f aca="false">(I34+K34)*L34*(1+Inputs!$B$33)</f>
        <v>1.46</v>
      </c>
      <c r="N34" s="24" t="n">
        <v>0</v>
      </c>
      <c r="O34" s="24" t="n">
        <f aca="false">$O$38/SUM($E$34:$E$36)</f>
        <v>0.1</v>
      </c>
      <c r="P34" s="25" t="n">
        <f aca="false">M34+N34+O34</f>
        <v>1.56</v>
      </c>
      <c r="Q34" s="27" t="n">
        <f aca="false">P34*E34</f>
        <v>3120</v>
      </c>
      <c r="R34" s="24" t="n">
        <v>0</v>
      </c>
      <c r="S34" s="25" t="n">
        <f aca="false">P34+R34</f>
        <v>1.56</v>
      </c>
      <c r="T34" s="27" t="n">
        <f aca="false">S34*E34</f>
        <v>3120</v>
      </c>
      <c r="U34" s="24" t="n">
        <f aca="false">Inputs!$B$15-P34</f>
        <v>1.88</v>
      </c>
      <c r="V34" s="11" t="s">
        <v>684</v>
      </c>
    </row>
    <row r="35" customFormat="false" ht="15" hidden="false" customHeight="false" outlineLevel="0" collapsed="false">
      <c r="A35" s="21" t="s">
        <v>685</v>
      </c>
      <c r="B35" s="37" t="s">
        <v>605</v>
      </c>
      <c r="C35" s="6" t="s">
        <v>686</v>
      </c>
      <c r="D35" s="21" t="s">
        <v>602</v>
      </c>
      <c r="E35" s="26" t="n">
        <f aca="false">Inputs!$B$6</f>
        <v>500</v>
      </c>
      <c r="F35" s="38" t="s">
        <v>46</v>
      </c>
      <c r="G35" s="41" t="s">
        <v>669</v>
      </c>
      <c r="H35" s="60" t="n">
        <v>12</v>
      </c>
      <c r="I35" s="40" t="n">
        <v>0.99</v>
      </c>
      <c r="J35" s="6" t="s">
        <v>687</v>
      </c>
      <c r="K35" s="40" t="n">
        <v>0.25</v>
      </c>
      <c r="L35" s="67" t="n">
        <f aca="false">IF(F35="USD",Inputs!$B$10,1)</f>
        <v>1</v>
      </c>
      <c r="M35" s="24" t="n">
        <f aca="false">(I35+K35)*L35*(1+Inputs!$B$33)</f>
        <v>1.24</v>
      </c>
      <c r="N35" s="24" t="n">
        <v>0</v>
      </c>
      <c r="O35" s="24" t="n">
        <f aca="false">$O$38/SUM($E$34:$E$36)</f>
        <v>0.1</v>
      </c>
      <c r="P35" s="25" t="n">
        <f aca="false">M35+N35+O35</f>
        <v>1.34</v>
      </c>
      <c r="Q35" s="27" t="n">
        <f aca="false">P35*E35</f>
        <v>670</v>
      </c>
      <c r="R35" s="24" t="n">
        <v>0</v>
      </c>
      <c r="S35" s="25" t="n">
        <f aca="false">P35+R35</f>
        <v>1.34</v>
      </c>
      <c r="T35" s="27" t="n">
        <f aca="false">S35*E35</f>
        <v>670</v>
      </c>
      <c r="U35" s="24" t="n">
        <f aca="false">Inputs!$B$15-P35</f>
        <v>2.1</v>
      </c>
      <c r="V35" s="11" t="s">
        <v>688</v>
      </c>
    </row>
    <row r="36" customFormat="false" ht="23.85" hidden="false" customHeight="false" outlineLevel="0" collapsed="false">
      <c r="A36" s="21" t="s">
        <v>649</v>
      </c>
      <c r="B36" s="37" t="s">
        <v>605</v>
      </c>
      <c r="C36" s="6" t="s">
        <v>686</v>
      </c>
      <c r="D36" s="21" t="s">
        <v>602</v>
      </c>
      <c r="E36" s="26" t="n">
        <f aca="false">Inputs!$B$7</f>
        <v>500</v>
      </c>
      <c r="F36" s="38" t="s">
        <v>46</v>
      </c>
      <c r="G36" s="41" t="s">
        <v>669</v>
      </c>
      <c r="H36" s="60" t="n">
        <v>12</v>
      </c>
      <c r="I36" s="40" t="n">
        <v>0.99</v>
      </c>
      <c r="J36" s="6" t="s">
        <v>689</v>
      </c>
      <c r="K36" s="40" t="n">
        <v>0.25</v>
      </c>
      <c r="L36" s="67" t="n">
        <f aca="false">IF(F36="USD",Inputs!$B$10,1)</f>
        <v>1</v>
      </c>
      <c r="M36" s="24" t="n">
        <f aca="false">(I36+K36)*L36*(1+Inputs!$B$33)</f>
        <v>1.24</v>
      </c>
      <c r="N36" s="24" t="n">
        <v>0</v>
      </c>
      <c r="O36" s="24" t="n">
        <f aca="false">$O$38/SUM($E$34:$E$36)</f>
        <v>0.1</v>
      </c>
      <c r="P36" s="25" t="n">
        <f aca="false">M36+N36+O36</f>
        <v>1.34</v>
      </c>
      <c r="Q36" s="27" t="n">
        <f aca="false">P36*E36</f>
        <v>670</v>
      </c>
      <c r="R36" s="24" t="n">
        <v>0</v>
      </c>
      <c r="S36" s="25" t="n">
        <f aca="false">P36+R36</f>
        <v>1.34</v>
      </c>
      <c r="T36" s="27" t="n">
        <f aca="false">S36*E36</f>
        <v>670</v>
      </c>
      <c r="U36" s="24" t="n">
        <f aca="false">Inputs!$B$15-P36</f>
        <v>2.1</v>
      </c>
      <c r="V36" s="11" t="s">
        <v>690</v>
      </c>
    </row>
    <row r="37" customFormat="false" ht="15" hidden="false" customHeight="false" outlineLevel="0" collapsed="false">
      <c r="A37" s="28" t="s">
        <v>653</v>
      </c>
      <c r="B37" s="29"/>
      <c r="C37" s="29"/>
      <c r="D37" s="29"/>
      <c r="E37" s="73" t="n">
        <f aca="false">SUM(E34:E36)</f>
        <v>3000</v>
      </c>
      <c r="F37" s="29"/>
      <c r="G37" s="29"/>
      <c r="H37" s="29"/>
      <c r="I37" s="29"/>
      <c r="J37" s="29"/>
      <c r="K37" s="29"/>
      <c r="L37" s="29"/>
      <c r="M37" s="29"/>
      <c r="N37" s="29"/>
      <c r="O37" s="29"/>
      <c r="P37" s="25" t="n">
        <f aca="false">Q37/E37</f>
        <v>1.48666666666667</v>
      </c>
      <c r="Q37" s="30" t="n">
        <f aca="false">SUM(Q34:Q36)</f>
        <v>4460</v>
      </c>
      <c r="R37" s="29"/>
      <c r="S37" s="25" t="n">
        <f aca="false">T37/E37</f>
        <v>1.48666666666667</v>
      </c>
      <c r="T37" s="30" t="n">
        <f aca="false">SUM(T34:T36)</f>
        <v>4460</v>
      </c>
      <c r="U37" s="25" t="n">
        <f aca="false">Inputs!$B$15-P37</f>
        <v>1.95333333333333</v>
      </c>
      <c r="V37" s="29"/>
    </row>
    <row r="38" customFormat="false" ht="15" hidden="false" customHeight="false" outlineLevel="0" collapsed="false">
      <c r="A38" s="2" t="s">
        <v>654</v>
      </c>
      <c r="O38" s="27" t="n">
        <f aca="false">Inputs!$B$20</f>
        <v>300</v>
      </c>
      <c r="P38" s="2" t="s">
        <v>691</v>
      </c>
    </row>
    <row r="40" customFormat="false" ht="15" hidden="false" customHeight="false" outlineLevel="0" collapsed="false">
      <c r="A40" s="4" t="s">
        <v>692</v>
      </c>
      <c r="B40" s="4"/>
      <c r="C40" s="4"/>
      <c r="D40" s="4"/>
      <c r="E40" s="4"/>
      <c r="F40" s="4"/>
      <c r="G40" s="4"/>
      <c r="H40" s="4"/>
      <c r="I40" s="4"/>
      <c r="J40" s="4"/>
      <c r="K40" s="4"/>
      <c r="L40" s="4"/>
      <c r="M40" s="4"/>
      <c r="N40" s="4"/>
      <c r="O40" s="4"/>
      <c r="P40" s="4"/>
      <c r="Q40" s="4"/>
      <c r="R40" s="4"/>
      <c r="S40" s="4"/>
      <c r="T40" s="4"/>
      <c r="U40" s="4"/>
      <c r="V40" s="4"/>
    </row>
    <row r="41" customFormat="false" ht="30" hidden="false" customHeight="true" outlineLevel="0" collapsed="false">
      <c r="A41" s="71" t="s">
        <v>693</v>
      </c>
      <c r="B41" s="71"/>
      <c r="C41" s="71"/>
      <c r="D41" s="71"/>
      <c r="E41" s="71"/>
      <c r="F41" s="71"/>
      <c r="G41" s="71"/>
      <c r="H41" s="71"/>
      <c r="I41" s="71"/>
      <c r="J41" s="71"/>
      <c r="K41" s="71"/>
      <c r="L41" s="71"/>
      <c r="M41" s="71"/>
      <c r="N41" s="71"/>
      <c r="O41" s="71"/>
      <c r="P41" s="71"/>
      <c r="Q41" s="71"/>
      <c r="R41" s="71"/>
      <c r="S41" s="71"/>
      <c r="T41" s="71"/>
      <c r="U41" s="71"/>
      <c r="V41" s="71"/>
    </row>
    <row r="42" customFormat="false" ht="54" hidden="false" customHeight="true" outlineLevel="0" collapsed="false">
      <c r="A42" s="7" t="s">
        <v>623</v>
      </c>
      <c r="B42" s="7" t="s">
        <v>624</v>
      </c>
      <c r="C42" s="7" t="s">
        <v>625</v>
      </c>
      <c r="D42" s="7" t="s">
        <v>626</v>
      </c>
      <c r="E42" s="7" t="s">
        <v>69</v>
      </c>
      <c r="F42" s="7" t="s">
        <v>20</v>
      </c>
      <c r="G42" s="7" t="s">
        <v>627</v>
      </c>
      <c r="H42" s="7" t="s">
        <v>628</v>
      </c>
      <c r="I42" s="7" t="s">
        <v>629</v>
      </c>
      <c r="J42" s="7" t="s">
        <v>630</v>
      </c>
      <c r="K42" s="7" t="s">
        <v>631</v>
      </c>
      <c r="L42" s="7" t="s">
        <v>632</v>
      </c>
      <c r="M42" s="7" t="s">
        <v>633</v>
      </c>
      <c r="N42" s="7" t="s">
        <v>634</v>
      </c>
      <c r="O42" s="7" t="s">
        <v>635</v>
      </c>
      <c r="P42" s="7" t="s">
        <v>157</v>
      </c>
      <c r="Q42" s="7" t="s">
        <v>636</v>
      </c>
      <c r="R42" s="7" t="s">
        <v>637</v>
      </c>
      <c r="S42" s="7" t="s">
        <v>638</v>
      </c>
      <c r="T42" s="7" t="s">
        <v>639</v>
      </c>
      <c r="U42" s="7" t="s">
        <v>640</v>
      </c>
      <c r="V42" s="7" t="s">
        <v>641</v>
      </c>
    </row>
    <row r="43" customFormat="false" ht="23.85" hidden="false" customHeight="false" outlineLevel="0" collapsed="false">
      <c r="A43" s="21" t="s">
        <v>642</v>
      </c>
      <c r="B43" s="37" t="s">
        <v>594</v>
      </c>
      <c r="C43" s="6" t="s">
        <v>694</v>
      </c>
      <c r="D43" s="21" t="s">
        <v>595</v>
      </c>
      <c r="E43" s="26" t="n">
        <f aca="false">Inputs!$B$5</f>
        <v>2000</v>
      </c>
      <c r="F43" s="38" t="s">
        <v>46</v>
      </c>
      <c r="G43" s="41" t="s">
        <v>669</v>
      </c>
      <c r="H43" s="60" t="n">
        <v>24</v>
      </c>
      <c r="I43" s="40" t="n">
        <v>1.67</v>
      </c>
      <c r="J43" s="6" t="s">
        <v>695</v>
      </c>
      <c r="K43" s="40" t="n">
        <v>0</v>
      </c>
      <c r="L43" s="67" t="n">
        <f aca="false">IF(F43="USD",Inputs!$B$10,1)</f>
        <v>1</v>
      </c>
      <c r="M43" s="24" t="n">
        <f aca="false">(I43+K43)*L43*(1+Inputs!$B$33)</f>
        <v>1.67</v>
      </c>
      <c r="N43" s="24" t="n">
        <v>0</v>
      </c>
      <c r="O43" s="24" t="n">
        <f aca="false">$O$47/SUM($E$43:$E$45)</f>
        <v>0.1</v>
      </c>
      <c r="P43" s="25" t="n">
        <f aca="false">M43+N43+O43</f>
        <v>1.77</v>
      </c>
      <c r="Q43" s="27" t="n">
        <f aca="false">P43*E43</f>
        <v>3540</v>
      </c>
      <c r="R43" s="24" t="n">
        <v>0</v>
      </c>
      <c r="S43" s="25" t="n">
        <f aca="false">P43+R43</f>
        <v>1.77</v>
      </c>
      <c r="T43" s="27" t="n">
        <f aca="false">S43*E43</f>
        <v>3540</v>
      </c>
      <c r="U43" s="24" t="n">
        <f aca="false">Inputs!$B$15-P43</f>
        <v>1.67</v>
      </c>
      <c r="V43" s="11" t="s">
        <v>696</v>
      </c>
    </row>
    <row r="44" customFormat="false" ht="23.85" hidden="false" customHeight="false" outlineLevel="0" collapsed="false">
      <c r="A44" s="21" t="s">
        <v>697</v>
      </c>
      <c r="B44" s="37" t="s">
        <v>601</v>
      </c>
      <c r="C44" s="6" t="s">
        <v>698</v>
      </c>
      <c r="D44" s="21" t="s">
        <v>602</v>
      </c>
      <c r="E44" s="26" t="n">
        <f aca="false">Inputs!$B$6</f>
        <v>500</v>
      </c>
      <c r="F44" s="38" t="s">
        <v>46</v>
      </c>
      <c r="G44" s="41" t="s">
        <v>669</v>
      </c>
      <c r="H44" s="60" t="n">
        <v>24</v>
      </c>
      <c r="I44" s="40" t="n">
        <v>2.35</v>
      </c>
      <c r="J44" s="6" t="s">
        <v>695</v>
      </c>
      <c r="K44" s="40" t="n">
        <v>0</v>
      </c>
      <c r="L44" s="67" t="n">
        <f aca="false">IF(F44="USD",Inputs!$B$10,1)</f>
        <v>1</v>
      </c>
      <c r="M44" s="24" t="n">
        <f aca="false">(I44+K44)*L44*(1+Inputs!$B$33)</f>
        <v>2.35</v>
      </c>
      <c r="N44" s="24" t="n">
        <v>0</v>
      </c>
      <c r="O44" s="24" t="n">
        <f aca="false">$O$47/SUM($E$43:$E$45)</f>
        <v>0.1</v>
      </c>
      <c r="P44" s="25" t="n">
        <f aca="false">M44+N44+O44</f>
        <v>2.45</v>
      </c>
      <c r="Q44" s="27" t="n">
        <f aca="false">P44*E44</f>
        <v>1225</v>
      </c>
      <c r="R44" s="24" t="n">
        <v>0</v>
      </c>
      <c r="S44" s="25" t="n">
        <f aca="false">P44+R44</f>
        <v>2.45</v>
      </c>
      <c r="T44" s="27" t="n">
        <f aca="false">S44*E44</f>
        <v>1225</v>
      </c>
      <c r="U44" s="24" t="n">
        <f aca="false">Inputs!$B$15-P44</f>
        <v>0.99</v>
      </c>
      <c r="V44" s="11" t="s">
        <v>699</v>
      </c>
    </row>
    <row r="45" customFormat="false" ht="23.85" hidden="false" customHeight="false" outlineLevel="0" collapsed="false">
      <c r="A45" s="21" t="s">
        <v>649</v>
      </c>
      <c r="B45" s="37" t="s">
        <v>601</v>
      </c>
      <c r="C45" s="6" t="s">
        <v>698</v>
      </c>
      <c r="D45" s="21" t="s">
        <v>602</v>
      </c>
      <c r="E45" s="26" t="n">
        <f aca="false">Inputs!$B$7</f>
        <v>500</v>
      </c>
      <c r="F45" s="38" t="s">
        <v>46</v>
      </c>
      <c r="G45" s="41" t="s">
        <v>669</v>
      </c>
      <c r="H45" s="60" t="n">
        <v>24</v>
      </c>
      <c r="I45" s="40" t="n">
        <v>2.35</v>
      </c>
      <c r="J45" s="6" t="s">
        <v>695</v>
      </c>
      <c r="K45" s="40" t="n">
        <v>0</v>
      </c>
      <c r="L45" s="67" t="n">
        <f aca="false">IF(F45="USD",Inputs!$B$10,1)</f>
        <v>1</v>
      </c>
      <c r="M45" s="24" t="n">
        <f aca="false">(I45+K45)*L45*(1+Inputs!$B$33)</f>
        <v>2.35</v>
      </c>
      <c r="N45" s="24" t="n">
        <v>0</v>
      </c>
      <c r="O45" s="24" t="n">
        <f aca="false">$O$47/SUM($E$43:$E$45)</f>
        <v>0.1</v>
      </c>
      <c r="P45" s="25" t="n">
        <f aca="false">M45+N45+O45</f>
        <v>2.45</v>
      </c>
      <c r="Q45" s="27" t="n">
        <f aca="false">P45*E45</f>
        <v>1225</v>
      </c>
      <c r="R45" s="24" t="n">
        <v>0</v>
      </c>
      <c r="S45" s="25" t="n">
        <f aca="false">P45+R45</f>
        <v>2.45</v>
      </c>
      <c r="T45" s="27" t="n">
        <f aca="false">S45*E45</f>
        <v>1225</v>
      </c>
      <c r="U45" s="24" t="n">
        <f aca="false">Inputs!$B$15-P45</f>
        <v>0.99</v>
      </c>
      <c r="V45" s="11" t="s">
        <v>700</v>
      </c>
    </row>
    <row r="46" customFormat="false" ht="15" hidden="false" customHeight="false" outlineLevel="0" collapsed="false">
      <c r="A46" s="28" t="s">
        <v>653</v>
      </c>
      <c r="B46" s="29"/>
      <c r="C46" s="29"/>
      <c r="D46" s="29"/>
      <c r="E46" s="73" t="n">
        <f aca="false">SUM(E43:E45)</f>
        <v>3000</v>
      </c>
      <c r="F46" s="29"/>
      <c r="G46" s="29"/>
      <c r="H46" s="29"/>
      <c r="I46" s="29"/>
      <c r="J46" s="29"/>
      <c r="K46" s="29"/>
      <c r="L46" s="29"/>
      <c r="M46" s="29"/>
      <c r="N46" s="29"/>
      <c r="O46" s="29"/>
      <c r="P46" s="25" t="n">
        <f aca="false">Q46/E46</f>
        <v>1.99666666666667</v>
      </c>
      <c r="Q46" s="30" t="n">
        <f aca="false">SUM(Q43:Q45)</f>
        <v>5990</v>
      </c>
      <c r="R46" s="29"/>
      <c r="S46" s="25" t="n">
        <f aca="false">T46/E46</f>
        <v>1.99666666666667</v>
      </c>
      <c r="T46" s="30" t="n">
        <f aca="false">SUM(T43:T45)</f>
        <v>5990</v>
      </c>
      <c r="U46" s="25" t="n">
        <f aca="false">Inputs!$B$15-P46</f>
        <v>1.44333333333333</v>
      </c>
      <c r="V46" s="29"/>
    </row>
    <row r="47" customFormat="false" ht="15" hidden="false" customHeight="false" outlineLevel="0" collapsed="false">
      <c r="A47" s="2" t="s">
        <v>654</v>
      </c>
      <c r="O47" s="27" t="n">
        <f aca="false">Inputs!$B$20</f>
        <v>300</v>
      </c>
      <c r="P47" s="2" t="s">
        <v>691</v>
      </c>
    </row>
  </sheetData>
  <mergeCells count="10">
    <mergeCell ref="A4:V4"/>
    <mergeCell ref="A5:V5"/>
    <mergeCell ref="A13:V13"/>
    <mergeCell ref="A14:V14"/>
    <mergeCell ref="A22:V22"/>
    <mergeCell ref="A23:V23"/>
    <mergeCell ref="A31:V31"/>
    <mergeCell ref="A32:V32"/>
    <mergeCell ref="A40:V40"/>
    <mergeCell ref="A41:V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8"/>
    <col collapsed="false" customWidth="true" hidden="false" outlineLevel="0" max="6" min="6" style="0" width="9"/>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30"/>
    <col collapsed="false" customWidth="true" hidden="false" outlineLevel="0" max="11" min="11" style="0" width="9"/>
    <col collapsed="false" customWidth="true" hidden="false" outlineLevel="0" max="12" min="12" style="0" width="8"/>
    <col collapsed="false" customWidth="true" hidden="false" outlineLevel="0" max="14" min="13" style="0" width="11"/>
    <col collapsed="false" customWidth="true" hidden="false" outlineLevel="0" max="15" min="15" style="0" width="12"/>
    <col collapsed="false" customWidth="true" hidden="false" outlineLevel="0" max="17" min="16" style="0" width="11"/>
    <col collapsed="false" customWidth="true" hidden="false" outlineLevel="0" max="20" min="18" style="0" width="12"/>
    <col collapsed="false" customWidth="true" hidden="false" outlineLevel="0" max="21" min="21" style="0" width="11"/>
    <col collapsed="false" customWidth="true" hidden="false" outlineLevel="0" max="22" min="22" style="0" width="34"/>
  </cols>
  <sheetData>
    <row r="1" customFormat="false" ht="17.35" hidden="false" customHeight="false" outlineLevel="0" collapsed="false">
      <c r="A1" s="1" t="s">
        <v>701</v>
      </c>
    </row>
    <row r="2" customFormat="false" ht="15" hidden="false" customHeight="false" outlineLevel="0" collapsed="false">
      <c r="A2" s="2" t="s">
        <v>702</v>
      </c>
    </row>
    <row r="4" customFormat="false" ht="15" hidden="false" customHeight="false" outlineLevel="0" collapsed="false">
      <c r="A4" s="4" t="s">
        <v>703</v>
      </c>
      <c r="B4" s="4"/>
      <c r="C4" s="4"/>
      <c r="D4" s="4"/>
      <c r="E4" s="4"/>
      <c r="F4" s="4"/>
      <c r="G4" s="4"/>
      <c r="H4" s="4"/>
      <c r="I4" s="4"/>
      <c r="J4" s="4"/>
      <c r="K4" s="4"/>
      <c r="L4" s="4"/>
      <c r="M4" s="4"/>
      <c r="N4" s="4"/>
      <c r="O4" s="4"/>
      <c r="P4" s="4"/>
      <c r="Q4" s="4"/>
      <c r="R4" s="4"/>
      <c r="S4" s="4"/>
      <c r="T4" s="4"/>
      <c r="U4" s="4"/>
      <c r="V4" s="4"/>
    </row>
    <row r="5" customFormat="false" ht="30" hidden="false" customHeight="true" outlineLevel="0" collapsed="false">
      <c r="A5" s="71" t="s">
        <v>704</v>
      </c>
      <c r="B5" s="71"/>
      <c r="C5" s="71"/>
      <c r="D5" s="71"/>
      <c r="E5" s="71"/>
      <c r="F5" s="71"/>
      <c r="G5" s="71"/>
      <c r="H5" s="71"/>
      <c r="I5" s="71"/>
      <c r="J5" s="71"/>
      <c r="K5" s="71"/>
      <c r="L5" s="71"/>
      <c r="M5" s="71"/>
      <c r="N5" s="71"/>
      <c r="O5" s="71"/>
      <c r="P5" s="71"/>
      <c r="Q5" s="71"/>
      <c r="R5" s="71"/>
      <c r="S5" s="71"/>
      <c r="T5" s="71"/>
      <c r="U5" s="71"/>
      <c r="V5" s="71"/>
    </row>
    <row r="6" customFormat="false" ht="54" hidden="false" customHeight="true" outlineLevel="0" collapsed="false">
      <c r="A6" s="7" t="s">
        <v>623</v>
      </c>
      <c r="B6" s="7" t="s">
        <v>624</v>
      </c>
      <c r="C6" s="7" t="s">
        <v>625</v>
      </c>
      <c r="D6" s="7" t="s">
        <v>626</v>
      </c>
      <c r="E6" s="7" t="s">
        <v>69</v>
      </c>
      <c r="F6" s="7" t="s">
        <v>20</v>
      </c>
      <c r="G6" s="7" t="s">
        <v>627</v>
      </c>
      <c r="H6" s="7" t="s">
        <v>628</v>
      </c>
      <c r="I6" s="7" t="s">
        <v>629</v>
      </c>
      <c r="J6" s="7" t="s">
        <v>630</v>
      </c>
      <c r="K6" s="7" t="s">
        <v>631</v>
      </c>
      <c r="L6" s="7" t="s">
        <v>632</v>
      </c>
      <c r="M6" s="7" t="s">
        <v>633</v>
      </c>
      <c r="N6" s="7" t="s">
        <v>634</v>
      </c>
      <c r="O6" s="7" t="s">
        <v>635</v>
      </c>
      <c r="P6" s="7" t="s">
        <v>157</v>
      </c>
      <c r="Q6" s="7" t="s">
        <v>636</v>
      </c>
      <c r="R6" s="7" t="s">
        <v>637</v>
      </c>
      <c r="S6" s="7" t="s">
        <v>638</v>
      </c>
      <c r="T6" s="7" t="s">
        <v>639</v>
      </c>
      <c r="U6" s="7" t="s">
        <v>640</v>
      </c>
      <c r="V6" s="7" t="s">
        <v>641</v>
      </c>
    </row>
    <row r="7" customFormat="false" ht="57.45" hidden="false" customHeight="false" outlineLevel="0" collapsed="false">
      <c r="A7" s="21" t="s">
        <v>642</v>
      </c>
      <c r="B7" s="37" t="s">
        <v>666</v>
      </c>
      <c r="C7" s="6" t="s">
        <v>705</v>
      </c>
      <c r="D7" s="21" t="s">
        <v>668</v>
      </c>
      <c r="E7" s="26" t="n">
        <f aca="false">Inputs!$B$5</f>
        <v>2000</v>
      </c>
      <c r="F7" s="38" t="s">
        <v>38</v>
      </c>
      <c r="G7" s="41" t="s">
        <v>669</v>
      </c>
      <c r="H7" s="60"/>
      <c r="I7" s="40" t="n">
        <v>0.46</v>
      </c>
      <c r="J7" s="6" t="s">
        <v>670</v>
      </c>
      <c r="K7" s="40" t="n">
        <v>0.07</v>
      </c>
      <c r="L7" s="67" t="n">
        <f aca="false">IF(F7="USD",Inputs!$B$10,1)</f>
        <v>1.424</v>
      </c>
      <c r="M7" s="24" t="n">
        <f aca="false">(I7+K7)*L7*(1+Inputs!$B$33)</f>
        <v>0.75472</v>
      </c>
      <c r="N7" s="24" t="n">
        <v>0</v>
      </c>
      <c r="O7" s="24" t="n">
        <f aca="false">$O$11/SUM($E$7:$E$9)</f>
        <v>0.616666666666667</v>
      </c>
      <c r="P7" s="25" t="n">
        <f aca="false">M7+N7+O7</f>
        <v>1.37138666666667</v>
      </c>
      <c r="Q7" s="27" t="n">
        <f aca="false">P7*E7</f>
        <v>2742.77333333333</v>
      </c>
      <c r="R7" s="24" t="n">
        <v>0</v>
      </c>
      <c r="S7" s="25" t="n">
        <f aca="false">P7+R7</f>
        <v>1.37138666666667</v>
      </c>
      <c r="T7" s="27" t="n">
        <f aca="false">S7*E7</f>
        <v>2742.77333333333</v>
      </c>
      <c r="U7" s="24" t="n">
        <f aca="false">Inputs!$B$15-P7</f>
        <v>2.06861333333333</v>
      </c>
      <c r="V7" s="11" t="s">
        <v>671</v>
      </c>
    </row>
    <row r="8" customFormat="false" ht="57.45" hidden="false" customHeight="false" outlineLevel="0" collapsed="false">
      <c r="A8" s="21" t="s">
        <v>646</v>
      </c>
      <c r="B8" s="37" t="s">
        <v>672</v>
      </c>
      <c r="C8" s="6" t="s">
        <v>706</v>
      </c>
      <c r="D8" s="21" t="s">
        <v>674</v>
      </c>
      <c r="E8" s="26" t="n">
        <f aca="false">Inputs!$B$6</f>
        <v>500</v>
      </c>
      <c r="F8" s="38" t="s">
        <v>38</v>
      </c>
      <c r="G8" s="41" t="s">
        <v>669</v>
      </c>
      <c r="H8" s="60"/>
      <c r="I8" s="40" t="n">
        <v>0.6</v>
      </c>
      <c r="J8" s="6" t="s">
        <v>675</v>
      </c>
      <c r="K8" s="40" t="n">
        <v>0.07</v>
      </c>
      <c r="L8" s="67" t="n">
        <f aca="false">IF(F8="USD",Inputs!$B$10,1)</f>
        <v>1.424</v>
      </c>
      <c r="M8" s="24" t="n">
        <f aca="false">(I8+K8)*L8*(1+Inputs!$B$33)</f>
        <v>0.95408</v>
      </c>
      <c r="N8" s="24" t="n">
        <v>0</v>
      </c>
      <c r="O8" s="24" t="n">
        <f aca="false">$O$11/SUM($E$7:$E$9)</f>
        <v>0.616666666666667</v>
      </c>
      <c r="P8" s="25" t="n">
        <f aca="false">M8+N8+O8</f>
        <v>1.57074666666667</v>
      </c>
      <c r="Q8" s="27" t="n">
        <f aca="false">P8*E8</f>
        <v>785.373333333333</v>
      </c>
      <c r="R8" s="24" t="n">
        <v>0</v>
      </c>
      <c r="S8" s="25" t="n">
        <f aca="false">P8+R8</f>
        <v>1.57074666666667</v>
      </c>
      <c r="T8" s="27" t="n">
        <f aca="false">S8*E8</f>
        <v>785.373333333333</v>
      </c>
      <c r="U8" s="24" t="n">
        <f aca="false">Inputs!$B$15-P8</f>
        <v>1.86925333333333</v>
      </c>
      <c r="V8" s="11" t="s">
        <v>676</v>
      </c>
    </row>
    <row r="9" customFormat="false" ht="57.45" hidden="false" customHeight="false" outlineLevel="0" collapsed="false">
      <c r="A9" s="21" t="s">
        <v>649</v>
      </c>
      <c r="B9" s="37" t="s">
        <v>193</v>
      </c>
      <c r="C9" s="6" t="s">
        <v>707</v>
      </c>
      <c r="D9" s="21" t="s">
        <v>602</v>
      </c>
      <c r="E9" s="26" t="n">
        <f aca="false">Inputs!$B$7</f>
        <v>500</v>
      </c>
      <c r="F9" s="38" t="s">
        <v>38</v>
      </c>
      <c r="G9" s="41" t="s">
        <v>669</v>
      </c>
      <c r="H9" s="60"/>
      <c r="I9" s="40" t="n">
        <v>0.55</v>
      </c>
      <c r="J9" s="6" t="s">
        <v>675</v>
      </c>
      <c r="K9" s="40" t="n">
        <v>0.07</v>
      </c>
      <c r="L9" s="67" t="n">
        <f aca="false">IF(F9="USD",Inputs!$B$10,1)</f>
        <v>1.424</v>
      </c>
      <c r="M9" s="24" t="n">
        <f aca="false">(I9+K9)*L9*(1+Inputs!$B$33)</f>
        <v>0.88288</v>
      </c>
      <c r="N9" s="24" t="n">
        <v>0</v>
      </c>
      <c r="O9" s="24" t="n">
        <f aca="false">$O$11/SUM($E$7:$E$9)</f>
        <v>0.616666666666667</v>
      </c>
      <c r="P9" s="25" t="n">
        <f aca="false">M9+N9+O9</f>
        <v>1.49954666666667</v>
      </c>
      <c r="Q9" s="27" t="n">
        <f aca="false">P9*E9</f>
        <v>749.773333333333</v>
      </c>
      <c r="R9" s="24" t="n">
        <v>0</v>
      </c>
      <c r="S9" s="25" t="n">
        <f aca="false">P9+R9</f>
        <v>1.49954666666667</v>
      </c>
      <c r="T9" s="27" t="n">
        <f aca="false">S9*E9</f>
        <v>749.773333333333</v>
      </c>
      <c r="U9" s="24" t="n">
        <f aca="false">Inputs!$B$15-P9</f>
        <v>1.94045333333333</v>
      </c>
      <c r="V9" s="11" t="s">
        <v>678</v>
      </c>
    </row>
    <row r="10" customFormat="false" ht="15" hidden="false" customHeight="false" outlineLevel="0" collapsed="false">
      <c r="A10" s="28" t="s">
        <v>653</v>
      </c>
      <c r="B10" s="29"/>
      <c r="C10" s="29"/>
      <c r="D10" s="29"/>
      <c r="E10" s="73" t="n">
        <f aca="false">SUM(E7:E9)</f>
        <v>3000</v>
      </c>
      <c r="F10" s="29"/>
      <c r="G10" s="29"/>
      <c r="H10" s="29"/>
      <c r="I10" s="29"/>
      <c r="J10" s="29"/>
      <c r="K10" s="29"/>
      <c r="L10" s="29"/>
      <c r="M10" s="29"/>
      <c r="N10" s="29"/>
      <c r="O10" s="29"/>
      <c r="P10" s="25" t="n">
        <f aca="false">Q10/E10</f>
        <v>1.42597333333333</v>
      </c>
      <c r="Q10" s="30" t="n">
        <f aca="false">SUM(Q7:Q9)</f>
        <v>4277.92</v>
      </c>
      <c r="R10" s="29"/>
      <c r="S10" s="25" t="n">
        <f aca="false">T10/E10</f>
        <v>1.42597333333333</v>
      </c>
      <c r="T10" s="30" t="n">
        <f aca="false">SUM(T7:T9)</f>
        <v>4277.92</v>
      </c>
      <c r="U10" s="25" t="n">
        <f aca="false">Inputs!$B$15-P10</f>
        <v>2.01402666666667</v>
      </c>
      <c r="V10" s="29"/>
    </row>
    <row r="11" customFormat="false" ht="15" hidden="false" customHeight="false" outlineLevel="0" collapsed="false">
      <c r="A11" s="2" t="s">
        <v>654</v>
      </c>
      <c r="O11" s="27" t="n">
        <f aca="false">Inputs!$B$21+Inputs!$B$30</f>
        <v>1850</v>
      </c>
      <c r="P11" s="2" t="s">
        <v>679</v>
      </c>
    </row>
    <row r="13" customFormat="false" ht="15" hidden="false" customHeight="false" outlineLevel="0" collapsed="false">
      <c r="A13" s="4" t="s">
        <v>708</v>
      </c>
      <c r="B13" s="4"/>
      <c r="C13" s="4"/>
      <c r="D13" s="4"/>
      <c r="E13" s="4"/>
      <c r="F13" s="4"/>
      <c r="G13" s="4"/>
      <c r="H13" s="4"/>
      <c r="I13" s="4"/>
      <c r="J13" s="4"/>
      <c r="K13" s="4"/>
      <c r="L13" s="4"/>
      <c r="M13" s="4"/>
      <c r="N13" s="4"/>
      <c r="O13" s="4"/>
      <c r="P13" s="4"/>
      <c r="Q13" s="4"/>
      <c r="R13" s="4"/>
      <c r="S13" s="4"/>
      <c r="T13" s="4"/>
      <c r="U13" s="4"/>
      <c r="V13" s="4"/>
    </row>
    <row r="14" customFormat="false" ht="30" hidden="false" customHeight="true" outlineLevel="0" collapsed="false">
      <c r="A14" s="71" t="s">
        <v>709</v>
      </c>
      <c r="B14" s="71"/>
      <c r="C14" s="71"/>
      <c r="D14" s="71"/>
      <c r="E14" s="71"/>
      <c r="F14" s="71"/>
      <c r="G14" s="71"/>
      <c r="H14" s="71"/>
      <c r="I14" s="71"/>
      <c r="J14" s="71"/>
      <c r="K14" s="71"/>
      <c r="L14" s="71"/>
      <c r="M14" s="71"/>
      <c r="N14" s="71"/>
      <c r="O14" s="71"/>
      <c r="P14" s="71"/>
      <c r="Q14" s="71"/>
      <c r="R14" s="71"/>
      <c r="S14" s="71"/>
      <c r="T14" s="71"/>
      <c r="U14" s="71"/>
      <c r="V14" s="71"/>
    </row>
    <row r="15" customFormat="false" ht="54" hidden="false" customHeight="true" outlineLevel="0" collapsed="false">
      <c r="A15" s="7" t="s">
        <v>623</v>
      </c>
      <c r="B15" s="7" t="s">
        <v>624</v>
      </c>
      <c r="C15" s="7" t="s">
        <v>625</v>
      </c>
      <c r="D15" s="7" t="s">
        <v>626</v>
      </c>
      <c r="E15" s="7" t="s">
        <v>69</v>
      </c>
      <c r="F15" s="7" t="s">
        <v>20</v>
      </c>
      <c r="G15" s="7" t="s">
        <v>627</v>
      </c>
      <c r="H15" s="7" t="s">
        <v>628</v>
      </c>
      <c r="I15" s="7" t="s">
        <v>629</v>
      </c>
      <c r="J15" s="7" t="s">
        <v>630</v>
      </c>
      <c r="K15" s="7" t="s">
        <v>631</v>
      </c>
      <c r="L15" s="7" t="s">
        <v>632</v>
      </c>
      <c r="M15" s="7" t="s">
        <v>633</v>
      </c>
      <c r="N15" s="7" t="s">
        <v>634</v>
      </c>
      <c r="O15" s="7" t="s">
        <v>635</v>
      </c>
      <c r="P15" s="7" t="s">
        <v>157</v>
      </c>
      <c r="Q15" s="7" t="s">
        <v>636</v>
      </c>
      <c r="R15" s="7" t="s">
        <v>637</v>
      </c>
      <c r="S15" s="7" t="s">
        <v>638</v>
      </c>
      <c r="T15" s="7" t="s">
        <v>639</v>
      </c>
      <c r="U15" s="7" t="s">
        <v>640</v>
      </c>
      <c r="V15" s="7" t="s">
        <v>641</v>
      </c>
    </row>
    <row r="16" customFormat="false" ht="23.85" hidden="false" customHeight="false" outlineLevel="0" collapsed="false">
      <c r="A16" s="21" t="s">
        <v>642</v>
      </c>
      <c r="B16" s="37" t="s">
        <v>594</v>
      </c>
      <c r="C16" s="6" t="s">
        <v>643</v>
      </c>
      <c r="D16" s="21" t="s">
        <v>595</v>
      </c>
      <c r="E16" s="26" t="n">
        <f aca="false">Inputs!$B$5</f>
        <v>2000</v>
      </c>
      <c r="F16" s="38" t="s">
        <v>38</v>
      </c>
      <c r="G16" s="72" t="n">
        <v>11.45</v>
      </c>
      <c r="H16" s="60" t="n">
        <v>24</v>
      </c>
      <c r="I16" s="39" t="n">
        <f aca="false">G16/H16</f>
        <v>0.477083333333333</v>
      </c>
      <c r="J16" s="6" t="s">
        <v>644</v>
      </c>
      <c r="K16" s="40" t="n">
        <v>0.14</v>
      </c>
      <c r="L16" s="67" t="n">
        <f aca="false">IF(F16="USD",Inputs!$B$10,1)</f>
        <v>1.424</v>
      </c>
      <c r="M16" s="24" t="n">
        <f aca="false">(I16+K16)*L16*(1+Inputs!$B$33)</f>
        <v>0.878726666666667</v>
      </c>
      <c r="N16" s="42" t="n">
        <f aca="false">Inputs!$B$37</f>
        <v>0.45</v>
      </c>
      <c r="O16" s="24" t="n">
        <f aca="false">$O$20/SUM($E$16:$E$18)</f>
        <v>1.11686666666667</v>
      </c>
      <c r="P16" s="25" t="n">
        <f aca="false">M16+N16+O16</f>
        <v>2.44559333333333</v>
      </c>
      <c r="Q16" s="27" t="n">
        <f aca="false">P16*E16</f>
        <v>4891.18666666667</v>
      </c>
      <c r="R16" s="24" t="n">
        <f aca="false">I16*L16*Inputs!$B$34</f>
        <v>0.339683333333333</v>
      </c>
      <c r="S16" s="25" t="n">
        <f aca="false">P16+R16</f>
        <v>2.78527666666667</v>
      </c>
      <c r="T16" s="27" t="n">
        <f aca="false">S16*E16</f>
        <v>5570.55333333333</v>
      </c>
      <c r="U16" s="24" t="n">
        <f aca="false">Inputs!$B$15-P16</f>
        <v>0.994406666666667</v>
      </c>
      <c r="V16" s="11" t="s">
        <v>710</v>
      </c>
    </row>
    <row r="17" customFormat="false" ht="22.35" hidden="false" customHeight="false" outlineLevel="0" collapsed="false">
      <c r="A17" s="21" t="s">
        <v>646</v>
      </c>
      <c r="B17" s="37" t="s">
        <v>597</v>
      </c>
      <c r="C17" s="6" t="s">
        <v>647</v>
      </c>
      <c r="D17" s="21" t="s">
        <v>598</v>
      </c>
      <c r="E17" s="26" t="n">
        <f aca="false">Inputs!$B$6</f>
        <v>500</v>
      </c>
      <c r="F17" s="38" t="s">
        <v>38</v>
      </c>
      <c r="G17" s="72" t="n">
        <v>8.13</v>
      </c>
      <c r="H17" s="60" t="n">
        <v>12</v>
      </c>
      <c r="I17" s="39" t="n">
        <f aca="false">G17/H17</f>
        <v>0.6775</v>
      </c>
      <c r="J17" s="6" t="s">
        <v>648</v>
      </c>
      <c r="K17" s="40" t="n">
        <v>0.13</v>
      </c>
      <c r="L17" s="67" t="n">
        <f aca="false">IF(F17="USD",Inputs!$B$10,1)</f>
        <v>1.424</v>
      </c>
      <c r="M17" s="24" t="n">
        <f aca="false">(I17+K17)*L17*(1+Inputs!$B$33)</f>
        <v>1.14988</v>
      </c>
      <c r="N17" s="42" t="n">
        <f aca="false">Inputs!$B$37</f>
        <v>0.45</v>
      </c>
      <c r="O17" s="24" t="n">
        <f aca="false">$O$20/SUM($E$16:$E$18)</f>
        <v>1.11686666666667</v>
      </c>
      <c r="P17" s="25" t="n">
        <f aca="false">M17+N17+O17</f>
        <v>2.71674666666667</v>
      </c>
      <c r="Q17" s="27" t="n">
        <f aca="false">P17*E17</f>
        <v>1358.37333333333</v>
      </c>
      <c r="R17" s="24" t="n">
        <f aca="false">I17*L17*Inputs!$B$34</f>
        <v>0.48238</v>
      </c>
      <c r="S17" s="25" t="n">
        <f aca="false">P17+R17</f>
        <v>3.19912666666667</v>
      </c>
      <c r="T17" s="27" t="n">
        <f aca="false">S17*E17</f>
        <v>1599.56333333333</v>
      </c>
      <c r="U17" s="24" t="n">
        <f aca="false">Inputs!$B$15-P17</f>
        <v>0.723253333333334</v>
      </c>
      <c r="V17" s="11" t="s">
        <v>710</v>
      </c>
    </row>
    <row r="18" customFormat="false" ht="23.85" hidden="false" customHeight="false" outlineLevel="0" collapsed="false">
      <c r="A18" s="21" t="s">
        <v>649</v>
      </c>
      <c r="B18" s="37" t="s">
        <v>605</v>
      </c>
      <c r="C18" s="6" t="s">
        <v>650</v>
      </c>
      <c r="D18" s="21" t="s">
        <v>602</v>
      </c>
      <c r="E18" s="26" t="n">
        <f aca="false">Inputs!$B$7</f>
        <v>500</v>
      </c>
      <c r="F18" s="38" t="s">
        <v>38</v>
      </c>
      <c r="G18" s="72" t="n">
        <v>5.29</v>
      </c>
      <c r="H18" s="60" t="n">
        <v>12</v>
      </c>
      <c r="I18" s="39" t="n">
        <f aca="false">G18/H18</f>
        <v>0.440833333333333</v>
      </c>
      <c r="J18" s="6" t="s">
        <v>651</v>
      </c>
      <c r="K18" s="40" t="n">
        <v>0.17</v>
      </c>
      <c r="L18" s="67" t="n">
        <f aca="false">IF(F18="USD",Inputs!$B$10,1)</f>
        <v>1.424</v>
      </c>
      <c r="M18" s="24" t="n">
        <f aca="false">(I18+K18)*L18*(1+Inputs!$B$33)</f>
        <v>0.869826666666667</v>
      </c>
      <c r="N18" s="42" t="n">
        <f aca="false">Inputs!$B$37</f>
        <v>0.45</v>
      </c>
      <c r="O18" s="24" t="n">
        <f aca="false">$O$20/SUM($E$16:$E$18)</f>
        <v>1.11686666666667</v>
      </c>
      <c r="P18" s="25" t="n">
        <f aca="false">M18+N18+O18</f>
        <v>2.43669333333333</v>
      </c>
      <c r="Q18" s="27" t="n">
        <f aca="false">P18*E18</f>
        <v>1218.34666666667</v>
      </c>
      <c r="R18" s="24" t="n">
        <f aca="false">I18*L18*Inputs!$B$34</f>
        <v>0.313873333333333</v>
      </c>
      <c r="S18" s="25" t="n">
        <f aca="false">P18+R18</f>
        <v>2.75056666666667</v>
      </c>
      <c r="T18" s="27" t="n">
        <f aca="false">S18*E18</f>
        <v>1375.28333333333</v>
      </c>
      <c r="U18" s="24" t="n">
        <f aca="false">Inputs!$B$15-P18</f>
        <v>1.00330666666667</v>
      </c>
      <c r="V18" s="11" t="s">
        <v>710</v>
      </c>
    </row>
    <row r="19" customFormat="false" ht="15" hidden="false" customHeight="false" outlineLevel="0" collapsed="false">
      <c r="A19" s="28" t="s">
        <v>653</v>
      </c>
      <c r="B19" s="29"/>
      <c r="C19" s="29"/>
      <c r="D19" s="29"/>
      <c r="E19" s="73" t="n">
        <f aca="false">SUM(E16:E18)</f>
        <v>3000</v>
      </c>
      <c r="F19" s="29"/>
      <c r="G19" s="29"/>
      <c r="H19" s="29"/>
      <c r="I19" s="29"/>
      <c r="J19" s="29"/>
      <c r="K19" s="29"/>
      <c r="L19" s="29"/>
      <c r="M19" s="29"/>
      <c r="N19" s="29"/>
      <c r="O19" s="29"/>
      <c r="P19" s="25" t="n">
        <f aca="false">Q19/E19</f>
        <v>2.48930222222222</v>
      </c>
      <c r="Q19" s="30" t="n">
        <f aca="false">SUM(Q16:Q18)</f>
        <v>7467.90666666667</v>
      </c>
      <c r="R19" s="29"/>
      <c r="S19" s="25" t="n">
        <f aca="false">T19/E19</f>
        <v>2.84846666666667</v>
      </c>
      <c r="T19" s="30" t="n">
        <f aca="false">SUM(T16:T18)</f>
        <v>8545.4</v>
      </c>
      <c r="U19" s="25" t="n">
        <f aca="false">Inputs!$B$15-P19</f>
        <v>0.950697777777779</v>
      </c>
      <c r="V19" s="29"/>
    </row>
    <row r="20" customFormat="false" ht="15" hidden="false" customHeight="false" outlineLevel="0" collapsed="false">
      <c r="A20" s="2" t="s">
        <v>654</v>
      </c>
      <c r="O20" s="27" t="n">
        <f aca="false">Inputs!$B$18*Inputs!$B$10+Inputs!$B$19+Inputs!$B$38*Inputs!$B$9+Inputs!$B$39</f>
        <v>3350.6</v>
      </c>
      <c r="P20" s="2" t="s">
        <v>711</v>
      </c>
    </row>
    <row r="22" customFormat="false" ht="15" hidden="false" customHeight="false" outlineLevel="0" collapsed="false">
      <c r="A22" s="4" t="s">
        <v>712</v>
      </c>
      <c r="B22" s="4"/>
      <c r="C22" s="4"/>
      <c r="D22" s="4"/>
      <c r="E22" s="4"/>
      <c r="F22" s="4"/>
      <c r="G22" s="4"/>
      <c r="H22" s="4"/>
      <c r="I22" s="4"/>
      <c r="J22" s="4"/>
      <c r="K22" s="4"/>
      <c r="L22" s="4"/>
      <c r="M22" s="4"/>
      <c r="N22" s="4"/>
      <c r="O22" s="4"/>
      <c r="P22" s="4"/>
      <c r="Q22" s="4"/>
      <c r="R22" s="4"/>
      <c r="S22" s="4"/>
      <c r="T22" s="4"/>
      <c r="U22" s="4"/>
      <c r="V22" s="4"/>
    </row>
    <row r="23" customFormat="false" ht="30" hidden="false" customHeight="true" outlineLevel="0" collapsed="false">
      <c r="A23" s="71" t="s">
        <v>713</v>
      </c>
      <c r="B23" s="71"/>
      <c r="C23" s="71"/>
      <c r="D23" s="71"/>
      <c r="E23" s="71"/>
      <c r="F23" s="71"/>
      <c r="G23" s="71"/>
      <c r="H23" s="71"/>
      <c r="I23" s="71"/>
      <c r="J23" s="71"/>
      <c r="K23" s="71"/>
      <c r="L23" s="71"/>
      <c r="M23" s="71"/>
      <c r="N23" s="71"/>
      <c r="O23" s="71"/>
      <c r="P23" s="71"/>
      <c r="Q23" s="71"/>
      <c r="R23" s="71"/>
      <c r="S23" s="71"/>
      <c r="T23" s="71"/>
      <c r="U23" s="71"/>
      <c r="V23" s="71"/>
    </row>
    <row r="24" customFormat="false" ht="54" hidden="false" customHeight="true" outlineLevel="0" collapsed="false">
      <c r="A24" s="7" t="s">
        <v>623</v>
      </c>
      <c r="B24" s="7" t="s">
        <v>624</v>
      </c>
      <c r="C24" s="7" t="s">
        <v>625</v>
      </c>
      <c r="D24" s="7" t="s">
        <v>626</v>
      </c>
      <c r="E24" s="7" t="s">
        <v>69</v>
      </c>
      <c r="F24" s="7" t="s">
        <v>20</v>
      </c>
      <c r="G24" s="7" t="s">
        <v>627</v>
      </c>
      <c r="H24" s="7" t="s">
        <v>628</v>
      </c>
      <c r="I24" s="7" t="s">
        <v>629</v>
      </c>
      <c r="J24" s="7" t="s">
        <v>630</v>
      </c>
      <c r="K24" s="7" t="s">
        <v>631</v>
      </c>
      <c r="L24" s="7" t="s">
        <v>632</v>
      </c>
      <c r="M24" s="7" t="s">
        <v>633</v>
      </c>
      <c r="N24" s="7" t="s">
        <v>634</v>
      </c>
      <c r="O24" s="7" t="s">
        <v>635</v>
      </c>
      <c r="P24" s="7" t="s">
        <v>157</v>
      </c>
      <c r="Q24" s="7" t="s">
        <v>636</v>
      </c>
      <c r="R24" s="7" t="s">
        <v>637</v>
      </c>
      <c r="S24" s="7" t="s">
        <v>638</v>
      </c>
      <c r="T24" s="7" t="s">
        <v>639</v>
      </c>
      <c r="U24" s="7" t="s">
        <v>640</v>
      </c>
      <c r="V24" s="7" t="s">
        <v>641</v>
      </c>
    </row>
    <row r="25" customFormat="false" ht="22.35" hidden="false" customHeight="false" outlineLevel="0" collapsed="false">
      <c r="A25" s="21" t="s">
        <v>642</v>
      </c>
      <c r="B25" s="37" t="s">
        <v>594</v>
      </c>
      <c r="C25" s="6" t="s">
        <v>658</v>
      </c>
      <c r="D25" s="21" t="s">
        <v>595</v>
      </c>
      <c r="E25" s="26" t="n">
        <f aca="false">Inputs!$B$5</f>
        <v>2000</v>
      </c>
      <c r="F25" s="38" t="s">
        <v>38</v>
      </c>
      <c r="G25" s="72" t="n">
        <v>12.95</v>
      </c>
      <c r="H25" s="60" t="n">
        <v>24</v>
      </c>
      <c r="I25" s="39" t="n">
        <f aca="false">G25/H25</f>
        <v>0.539583333333333</v>
      </c>
      <c r="J25" s="6" t="s">
        <v>659</v>
      </c>
      <c r="K25" s="40" t="n">
        <v>0.125</v>
      </c>
      <c r="L25" s="67" t="n">
        <f aca="false">IF(F25="USD",Inputs!$B$10,1)</f>
        <v>1.424</v>
      </c>
      <c r="M25" s="24" t="n">
        <f aca="false">(I25+K25)*L25*(1+Inputs!$B$33)</f>
        <v>0.946366666666667</v>
      </c>
      <c r="N25" s="42" t="n">
        <f aca="false">Inputs!$B$37</f>
        <v>0.45</v>
      </c>
      <c r="O25" s="24" t="n">
        <f aca="false">$O$29/SUM($E$25:$E$27)</f>
        <v>1.11686666666667</v>
      </c>
      <c r="P25" s="25" t="n">
        <f aca="false">M25+N25+O25</f>
        <v>2.51323333333333</v>
      </c>
      <c r="Q25" s="27" t="n">
        <f aca="false">P25*E25</f>
        <v>5026.46666666667</v>
      </c>
      <c r="R25" s="24" t="n">
        <f aca="false">I25*L25*Inputs!$B$34</f>
        <v>0.384183333333333</v>
      </c>
      <c r="S25" s="25" t="n">
        <f aca="false">P25+R25</f>
        <v>2.89741666666667</v>
      </c>
      <c r="T25" s="27" t="n">
        <f aca="false">S25*E25</f>
        <v>5794.83333333333</v>
      </c>
      <c r="U25" s="24" t="n">
        <f aca="false">Inputs!$B$15-P25</f>
        <v>0.926766666666667</v>
      </c>
      <c r="V25" s="11" t="s">
        <v>710</v>
      </c>
    </row>
    <row r="26" customFormat="false" ht="23.85" hidden="false" customHeight="false" outlineLevel="0" collapsed="false">
      <c r="A26" s="21" t="s">
        <v>646</v>
      </c>
      <c r="B26" s="37" t="s">
        <v>597</v>
      </c>
      <c r="C26" s="6" t="s">
        <v>660</v>
      </c>
      <c r="D26" s="21" t="s">
        <v>598</v>
      </c>
      <c r="E26" s="26" t="n">
        <f aca="false">Inputs!$B$6</f>
        <v>500</v>
      </c>
      <c r="F26" s="38" t="s">
        <v>38</v>
      </c>
      <c r="G26" s="72" t="n">
        <v>7.99</v>
      </c>
      <c r="H26" s="60" t="n">
        <v>12</v>
      </c>
      <c r="I26" s="39" t="n">
        <f aca="false">G26/H26</f>
        <v>0.665833333333333</v>
      </c>
      <c r="J26" s="6" t="s">
        <v>661</v>
      </c>
      <c r="K26" s="40" t="n">
        <v>0.2</v>
      </c>
      <c r="L26" s="67" t="n">
        <f aca="false">IF(F26="USD",Inputs!$B$10,1)</f>
        <v>1.424</v>
      </c>
      <c r="M26" s="24" t="n">
        <f aca="false">(I26+K26)*L26*(1+Inputs!$B$33)</f>
        <v>1.23294666666667</v>
      </c>
      <c r="N26" s="42" t="n">
        <f aca="false">Inputs!$B$37</f>
        <v>0.45</v>
      </c>
      <c r="O26" s="24" t="n">
        <f aca="false">$O$29/SUM($E$25:$E$27)</f>
        <v>1.11686666666667</v>
      </c>
      <c r="P26" s="25" t="n">
        <f aca="false">M26+N26+O26</f>
        <v>2.79981333333333</v>
      </c>
      <c r="Q26" s="27" t="n">
        <f aca="false">P26*E26</f>
        <v>1399.90666666667</v>
      </c>
      <c r="R26" s="24" t="n">
        <f aca="false">I26*L26*Inputs!$B$34</f>
        <v>0.474073333333333</v>
      </c>
      <c r="S26" s="25" t="n">
        <f aca="false">P26+R26</f>
        <v>3.27388666666667</v>
      </c>
      <c r="T26" s="27" t="n">
        <f aca="false">S26*E26</f>
        <v>1636.94333333333</v>
      </c>
      <c r="U26" s="24" t="n">
        <f aca="false">Inputs!$B$15-P26</f>
        <v>0.640186666666667</v>
      </c>
      <c r="V26" s="11" t="s">
        <v>710</v>
      </c>
    </row>
    <row r="27" customFormat="false" ht="23.85" hidden="false" customHeight="false" outlineLevel="0" collapsed="false">
      <c r="A27" s="21" t="s">
        <v>649</v>
      </c>
      <c r="B27" s="37" t="s">
        <v>605</v>
      </c>
      <c r="C27" s="6" t="s">
        <v>662</v>
      </c>
      <c r="D27" s="21" t="s">
        <v>602</v>
      </c>
      <c r="E27" s="26" t="n">
        <f aca="false">Inputs!$B$7</f>
        <v>500</v>
      </c>
      <c r="F27" s="38" t="s">
        <v>38</v>
      </c>
      <c r="G27" s="72" t="n">
        <v>6.35</v>
      </c>
      <c r="H27" s="60" t="n">
        <v>12</v>
      </c>
      <c r="I27" s="39" t="n">
        <f aca="false">G27/H27</f>
        <v>0.529166666666667</v>
      </c>
      <c r="J27" s="6" t="s">
        <v>663</v>
      </c>
      <c r="K27" s="40" t="n">
        <v>0.22</v>
      </c>
      <c r="L27" s="67" t="n">
        <f aca="false">IF(F27="USD",Inputs!$B$10,1)</f>
        <v>1.424</v>
      </c>
      <c r="M27" s="24" t="n">
        <f aca="false">(I27+K27)*L27*(1+Inputs!$B$33)</f>
        <v>1.06681333333333</v>
      </c>
      <c r="N27" s="42" t="n">
        <f aca="false">Inputs!$B$37</f>
        <v>0.45</v>
      </c>
      <c r="O27" s="24" t="n">
        <f aca="false">$O$29/SUM($E$25:$E$27)</f>
        <v>1.11686666666667</v>
      </c>
      <c r="P27" s="25" t="n">
        <f aca="false">M27+N27+O27</f>
        <v>2.63368</v>
      </c>
      <c r="Q27" s="27" t="n">
        <f aca="false">P27*E27</f>
        <v>1316.84</v>
      </c>
      <c r="R27" s="24" t="n">
        <f aca="false">I27*L27*Inputs!$B$34</f>
        <v>0.376766666666667</v>
      </c>
      <c r="S27" s="25" t="n">
        <f aca="false">P27+R27</f>
        <v>3.01044666666667</v>
      </c>
      <c r="T27" s="27" t="n">
        <f aca="false">S27*E27</f>
        <v>1505.22333333333</v>
      </c>
      <c r="U27" s="24" t="n">
        <f aca="false">Inputs!$B$15-P27</f>
        <v>0.80632</v>
      </c>
      <c r="V27" s="11" t="s">
        <v>710</v>
      </c>
    </row>
    <row r="28" customFormat="false" ht="15" hidden="false" customHeight="false" outlineLevel="0" collapsed="false">
      <c r="A28" s="28" t="s">
        <v>653</v>
      </c>
      <c r="B28" s="29"/>
      <c r="C28" s="29"/>
      <c r="D28" s="29"/>
      <c r="E28" s="73" t="n">
        <f aca="false">SUM(E25:E27)</f>
        <v>3000</v>
      </c>
      <c r="F28" s="29"/>
      <c r="G28" s="29"/>
      <c r="H28" s="29"/>
      <c r="I28" s="29"/>
      <c r="J28" s="29"/>
      <c r="K28" s="29"/>
      <c r="L28" s="29"/>
      <c r="M28" s="29"/>
      <c r="N28" s="29"/>
      <c r="O28" s="29"/>
      <c r="P28" s="25" t="n">
        <f aca="false">Q28/E28</f>
        <v>2.58107111111111</v>
      </c>
      <c r="Q28" s="30" t="n">
        <f aca="false">SUM(Q25:Q27)</f>
        <v>7743.21333333333</v>
      </c>
      <c r="R28" s="29"/>
      <c r="S28" s="25" t="n">
        <f aca="false">T28/E28</f>
        <v>2.979</v>
      </c>
      <c r="T28" s="30" t="n">
        <f aca="false">SUM(T25:T27)</f>
        <v>8937</v>
      </c>
      <c r="U28" s="25" t="n">
        <f aca="false">Inputs!$B$15-P28</f>
        <v>0.858928888888889</v>
      </c>
      <c r="V28" s="29"/>
    </row>
    <row r="29" customFormat="false" ht="15" hidden="false" customHeight="false" outlineLevel="0" collapsed="false">
      <c r="A29" s="2" t="s">
        <v>654</v>
      </c>
      <c r="O29" s="27" t="n">
        <f aca="false">Inputs!$B$18*Inputs!$B$10+Inputs!$B$19+Inputs!$B$38*Inputs!$B$9+Inputs!$B$39</f>
        <v>3350.6</v>
      </c>
      <c r="P29" s="2" t="s">
        <v>711</v>
      </c>
    </row>
    <row r="31" customFormat="false" ht="15" hidden="false" customHeight="false" outlineLevel="0" collapsed="false">
      <c r="A31" s="4" t="s">
        <v>714</v>
      </c>
      <c r="B31" s="4"/>
      <c r="C31" s="4"/>
      <c r="D31" s="4"/>
      <c r="E31" s="4"/>
      <c r="F31" s="4"/>
      <c r="G31" s="4"/>
      <c r="H31" s="4"/>
      <c r="I31" s="4"/>
      <c r="J31" s="4"/>
      <c r="K31" s="4"/>
      <c r="L31" s="4"/>
      <c r="M31" s="4"/>
      <c r="N31" s="4"/>
      <c r="O31" s="4"/>
      <c r="P31" s="4"/>
      <c r="Q31" s="4"/>
      <c r="R31" s="4"/>
      <c r="S31" s="4"/>
      <c r="T31" s="4"/>
      <c r="U31" s="4"/>
      <c r="V31" s="4"/>
    </row>
    <row r="32" customFormat="false" ht="30" hidden="false" customHeight="true" outlineLevel="0" collapsed="false">
      <c r="A32" s="71" t="s">
        <v>715</v>
      </c>
      <c r="B32" s="71"/>
      <c r="C32" s="71"/>
      <c r="D32" s="71"/>
      <c r="E32" s="71"/>
      <c r="F32" s="71"/>
      <c r="G32" s="71"/>
      <c r="H32" s="71"/>
      <c r="I32" s="71"/>
      <c r="J32" s="71"/>
      <c r="K32" s="71"/>
      <c r="L32" s="71"/>
      <c r="M32" s="71"/>
      <c r="N32" s="71"/>
      <c r="O32" s="71"/>
      <c r="P32" s="71"/>
      <c r="Q32" s="71"/>
      <c r="R32" s="71"/>
      <c r="S32" s="71"/>
      <c r="T32" s="71"/>
      <c r="U32" s="71"/>
      <c r="V32" s="71"/>
    </row>
    <row r="33" customFormat="false" ht="54" hidden="false" customHeight="true" outlineLevel="0" collapsed="false">
      <c r="A33" s="7" t="s">
        <v>623</v>
      </c>
      <c r="B33" s="7" t="s">
        <v>624</v>
      </c>
      <c r="C33" s="7" t="s">
        <v>625</v>
      </c>
      <c r="D33" s="7" t="s">
        <v>626</v>
      </c>
      <c r="E33" s="7" t="s">
        <v>69</v>
      </c>
      <c r="F33" s="7" t="s">
        <v>20</v>
      </c>
      <c r="G33" s="7" t="s">
        <v>627</v>
      </c>
      <c r="H33" s="7" t="s">
        <v>628</v>
      </c>
      <c r="I33" s="7" t="s">
        <v>629</v>
      </c>
      <c r="J33" s="7" t="s">
        <v>630</v>
      </c>
      <c r="K33" s="7" t="s">
        <v>631</v>
      </c>
      <c r="L33" s="7" t="s">
        <v>632</v>
      </c>
      <c r="M33" s="7" t="s">
        <v>633</v>
      </c>
      <c r="N33" s="7" t="s">
        <v>634</v>
      </c>
      <c r="O33" s="7" t="s">
        <v>635</v>
      </c>
      <c r="P33" s="7" t="s">
        <v>157</v>
      </c>
      <c r="Q33" s="7" t="s">
        <v>636</v>
      </c>
      <c r="R33" s="7" t="s">
        <v>637</v>
      </c>
      <c r="S33" s="7" t="s">
        <v>638</v>
      </c>
      <c r="T33" s="7" t="s">
        <v>639</v>
      </c>
      <c r="U33" s="7" t="s">
        <v>640</v>
      </c>
      <c r="V33" s="7" t="s">
        <v>641</v>
      </c>
    </row>
    <row r="34" customFormat="false" ht="23.85" hidden="false" customHeight="false" outlineLevel="0" collapsed="false">
      <c r="A34" s="21" t="s">
        <v>642</v>
      </c>
      <c r="B34" s="37" t="s">
        <v>594</v>
      </c>
      <c r="C34" s="6" t="s">
        <v>716</v>
      </c>
      <c r="D34" s="21" t="s">
        <v>595</v>
      </c>
      <c r="E34" s="26" t="n">
        <f aca="false">Inputs!$B$5</f>
        <v>2000</v>
      </c>
      <c r="F34" s="38" t="s">
        <v>38</v>
      </c>
      <c r="G34" s="41" t="s">
        <v>669</v>
      </c>
      <c r="H34" s="60" t="n">
        <v>90</v>
      </c>
      <c r="I34" s="40" t="n">
        <v>0.75</v>
      </c>
      <c r="J34" s="6" t="s">
        <v>717</v>
      </c>
      <c r="K34" s="40" t="n">
        <v>0.15</v>
      </c>
      <c r="L34" s="67" t="n">
        <f aca="false">IF(F34="USD",Inputs!$B$10,1)</f>
        <v>1.424</v>
      </c>
      <c r="M34" s="24" t="n">
        <f aca="false">(I34+K34)*L34*(1+Inputs!$B$33)</f>
        <v>1.2816</v>
      </c>
      <c r="N34" s="24" t="n">
        <v>0</v>
      </c>
      <c r="O34" s="24" t="n">
        <f aca="false">$O$38/SUM($E$34:$E$36)</f>
        <v>0.366866666666667</v>
      </c>
      <c r="P34" s="25" t="n">
        <f aca="false">M34+N34+O34</f>
        <v>1.64846666666667</v>
      </c>
      <c r="Q34" s="27" t="n">
        <f aca="false">P34*E34</f>
        <v>3296.93333333333</v>
      </c>
      <c r="R34" s="24" t="n">
        <f aca="false">I34*L34*Inputs!$B$34</f>
        <v>0.534</v>
      </c>
      <c r="S34" s="25" t="n">
        <f aca="false">P34+R34</f>
        <v>2.18246666666667</v>
      </c>
      <c r="T34" s="27" t="n">
        <f aca="false">S34*E34</f>
        <v>4364.93333333333</v>
      </c>
      <c r="U34" s="24" t="n">
        <f aca="false">Inputs!$B$15-P34</f>
        <v>1.79153333333333</v>
      </c>
      <c r="V34" s="11" t="s">
        <v>718</v>
      </c>
    </row>
    <row r="35" customFormat="false" ht="15" hidden="false" customHeight="false" outlineLevel="0" collapsed="false">
      <c r="A35" s="21" t="s">
        <v>685</v>
      </c>
      <c r="B35" s="37" t="s">
        <v>605</v>
      </c>
      <c r="C35" s="6" t="s">
        <v>719</v>
      </c>
      <c r="D35" s="21" t="s">
        <v>602</v>
      </c>
      <c r="E35" s="26" t="n">
        <f aca="false">Inputs!$B$6</f>
        <v>500</v>
      </c>
      <c r="F35" s="38" t="s">
        <v>38</v>
      </c>
      <c r="G35" s="41" t="s">
        <v>669</v>
      </c>
      <c r="H35" s="60" t="n">
        <v>72</v>
      </c>
      <c r="I35" s="40" t="n">
        <v>1.57</v>
      </c>
      <c r="J35" s="6" t="s">
        <v>720</v>
      </c>
      <c r="K35" s="40" t="n">
        <v>0.15</v>
      </c>
      <c r="L35" s="67" t="n">
        <f aca="false">IF(F35="USD",Inputs!$B$10,1)</f>
        <v>1.424</v>
      </c>
      <c r="M35" s="24" t="n">
        <f aca="false">(I35+K35)*L35*(1+Inputs!$B$33)</f>
        <v>2.44928</v>
      </c>
      <c r="N35" s="24" t="n">
        <v>0</v>
      </c>
      <c r="O35" s="24" t="n">
        <f aca="false">$O$38/SUM($E$34:$E$36)</f>
        <v>0.366866666666667</v>
      </c>
      <c r="P35" s="25" t="n">
        <f aca="false">M35+N35+O35</f>
        <v>2.81614666666667</v>
      </c>
      <c r="Q35" s="27" t="n">
        <f aca="false">P35*E35</f>
        <v>1408.07333333333</v>
      </c>
      <c r="R35" s="24" t="n">
        <f aca="false">I35*L35*Inputs!$B$34</f>
        <v>1.11784</v>
      </c>
      <c r="S35" s="25" t="n">
        <f aca="false">P35+R35</f>
        <v>3.93398666666667</v>
      </c>
      <c r="T35" s="27" t="n">
        <f aca="false">S35*E35</f>
        <v>1966.99333333333</v>
      </c>
      <c r="U35" s="24" t="n">
        <f aca="false">Inputs!$B$15-P35</f>
        <v>0.623853333333334</v>
      </c>
      <c r="V35" s="11" t="s">
        <v>688</v>
      </c>
    </row>
    <row r="36" customFormat="false" ht="15" hidden="false" customHeight="false" outlineLevel="0" collapsed="false">
      <c r="A36" s="21" t="s">
        <v>649</v>
      </c>
      <c r="B36" s="37" t="s">
        <v>605</v>
      </c>
      <c r="C36" s="6" t="s">
        <v>719</v>
      </c>
      <c r="D36" s="21" t="s">
        <v>602</v>
      </c>
      <c r="E36" s="26" t="n">
        <f aca="false">Inputs!$B$7</f>
        <v>500</v>
      </c>
      <c r="F36" s="38" t="s">
        <v>38</v>
      </c>
      <c r="G36" s="41" t="s">
        <v>669</v>
      </c>
      <c r="H36" s="60" t="n">
        <v>72</v>
      </c>
      <c r="I36" s="40" t="n">
        <v>1.57</v>
      </c>
      <c r="J36" s="6" t="s">
        <v>721</v>
      </c>
      <c r="K36" s="40" t="n">
        <v>0.31</v>
      </c>
      <c r="L36" s="67" t="n">
        <f aca="false">IF(F36="USD",Inputs!$B$10,1)</f>
        <v>1.424</v>
      </c>
      <c r="M36" s="24" t="n">
        <f aca="false">(I36+K36)*L36*(1+Inputs!$B$33)</f>
        <v>2.67712</v>
      </c>
      <c r="N36" s="24" t="n">
        <v>0</v>
      </c>
      <c r="O36" s="24" t="n">
        <f aca="false">$O$38/SUM($E$34:$E$36)</f>
        <v>0.366866666666667</v>
      </c>
      <c r="P36" s="25" t="n">
        <f aca="false">M36+N36+O36</f>
        <v>3.04398666666667</v>
      </c>
      <c r="Q36" s="27" t="n">
        <f aca="false">P36*E36</f>
        <v>1521.99333333333</v>
      </c>
      <c r="R36" s="24" t="n">
        <f aca="false">I36*L36*Inputs!$B$34</f>
        <v>1.11784</v>
      </c>
      <c r="S36" s="25" t="n">
        <f aca="false">P36+R36</f>
        <v>4.16182666666667</v>
      </c>
      <c r="T36" s="27" t="n">
        <f aca="false">S36*E36</f>
        <v>2080.91333333333</v>
      </c>
      <c r="U36" s="24" t="n">
        <f aca="false">Inputs!$B$15-P36</f>
        <v>0.396013333333334</v>
      </c>
      <c r="V36" s="11" t="s">
        <v>722</v>
      </c>
    </row>
    <row r="37" customFormat="false" ht="15" hidden="false" customHeight="false" outlineLevel="0" collapsed="false">
      <c r="A37" s="28" t="s">
        <v>653</v>
      </c>
      <c r="B37" s="29"/>
      <c r="C37" s="29"/>
      <c r="D37" s="29"/>
      <c r="E37" s="73" t="n">
        <f aca="false">SUM(E34:E36)</f>
        <v>3000</v>
      </c>
      <c r="F37" s="29"/>
      <c r="G37" s="29"/>
      <c r="H37" s="29"/>
      <c r="I37" s="29"/>
      <c r="J37" s="29"/>
      <c r="K37" s="29"/>
      <c r="L37" s="29"/>
      <c r="M37" s="29"/>
      <c r="N37" s="29"/>
      <c r="O37" s="29"/>
      <c r="P37" s="25" t="n">
        <f aca="false">Q37/E37</f>
        <v>2.07566666666667</v>
      </c>
      <c r="Q37" s="30" t="n">
        <f aca="false">SUM(Q34:Q36)</f>
        <v>6227</v>
      </c>
      <c r="R37" s="29"/>
      <c r="S37" s="25" t="n">
        <f aca="false">T37/E37</f>
        <v>2.80428</v>
      </c>
      <c r="T37" s="30" t="n">
        <f aca="false">SUM(T34:T36)</f>
        <v>8412.84</v>
      </c>
      <c r="U37" s="25" t="n">
        <f aca="false">Inputs!$B$15-P37</f>
        <v>1.36433333333333</v>
      </c>
      <c r="V37" s="29"/>
    </row>
    <row r="38" customFormat="false" ht="15" hidden="false" customHeight="false" outlineLevel="0" collapsed="false">
      <c r="A38" s="2" t="s">
        <v>654</v>
      </c>
      <c r="O38" s="27" t="n">
        <f aca="false">Inputs!$B$18*Inputs!$B$10+Inputs!$B$19</f>
        <v>1100.6</v>
      </c>
      <c r="P38" s="2" t="s">
        <v>655</v>
      </c>
    </row>
  </sheetData>
  <mergeCells count="8">
    <mergeCell ref="A4:V4"/>
    <mergeCell ref="A5:V5"/>
    <mergeCell ref="A13:V13"/>
    <mergeCell ref="A14:V14"/>
    <mergeCell ref="A22:V22"/>
    <mergeCell ref="A23:V23"/>
    <mergeCell ref="A31:V31"/>
    <mergeCell ref="A32:V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7"/>
    <col collapsed="false" customWidth="true" hidden="false" outlineLevel="0" max="8" min="7" style="0" width="11"/>
    <col collapsed="false" customWidth="true" hidden="false" outlineLevel="0" max="9" min="9" style="0" width="12"/>
    <col collapsed="false" customWidth="true" hidden="false" outlineLevel="0" max="10" min="10" style="0" width="11"/>
    <col collapsed="false" customWidth="true" hidden="false" outlineLevel="0" max="11" min="11" style="0" width="12"/>
    <col collapsed="false" customWidth="true" hidden="false" outlineLevel="0" max="12" min="12" style="0" width="11"/>
    <col collapsed="false" customWidth="true" hidden="false" outlineLevel="0" max="13" min="13" style="0" width="8"/>
    <col collapsed="false" customWidth="true" hidden="false" outlineLevel="0" max="14" min="14" style="0" width="12"/>
    <col collapsed="false" customWidth="true" hidden="false" outlineLevel="0" max="15" min="15" style="0" width="13"/>
  </cols>
  <sheetData>
    <row r="1" customFormat="false" ht="17.35" hidden="false" customHeight="false" outlineLevel="0" collapsed="false">
      <c r="A1" s="1" t="s">
        <v>723</v>
      </c>
    </row>
    <row r="2" customFormat="false" ht="15" hidden="false" customHeight="false" outlineLevel="0" collapsed="false">
      <c r="A2" s="2" t="s">
        <v>724</v>
      </c>
    </row>
    <row r="4" customFormat="false" ht="15" hidden="false" customHeight="false" outlineLevel="0" collapsed="false">
      <c r="A4" s="17" t="s">
        <v>725</v>
      </c>
    </row>
    <row r="5" customFormat="false" ht="43.5" hidden="false" customHeight="true" outlineLevel="0" collapsed="false">
      <c r="A5" s="64" t="s">
        <v>87</v>
      </c>
      <c r="B5" s="64" t="s">
        <v>493</v>
      </c>
      <c r="C5" s="64" t="s">
        <v>726</v>
      </c>
      <c r="D5" s="64" t="s">
        <v>727</v>
      </c>
      <c r="E5" s="64" t="s">
        <v>728</v>
      </c>
      <c r="F5" s="64" t="s">
        <v>729</v>
      </c>
      <c r="G5" s="64" t="s">
        <v>730</v>
      </c>
      <c r="H5" s="64" t="s">
        <v>731</v>
      </c>
    </row>
    <row r="6" customFormat="false" ht="15" hidden="false" customHeight="false" outlineLevel="0" collapsed="false">
      <c r="A6" s="37" t="s">
        <v>497</v>
      </c>
      <c r="B6" s="21" t="s">
        <v>732</v>
      </c>
      <c r="C6" s="27" t="n">
        <f aca="false">N31</f>
        <v>3867.90666666667</v>
      </c>
      <c r="D6" s="27" t="n">
        <f aca="false">C6-N31</f>
        <v>0</v>
      </c>
      <c r="E6" s="27" t="n">
        <f aca="false">O31</f>
        <v>4945.4</v>
      </c>
      <c r="F6" s="27" t="n">
        <f aca="false">E6-O31</f>
        <v>0</v>
      </c>
      <c r="G6" s="24" t="n">
        <f aca="false">J31</f>
        <v>1.28930222222222</v>
      </c>
      <c r="H6" s="21" t="s">
        <v>733</v>
      </c>
    </row>
    <row r="7" customFormat="false" ht="15" hidden="false" customHeight="false" outlineLevel="0" collapsed="false">
      <c r="A7" s="54" t="s">
        <v>498</v>
      </c>
      <c r="B7" s="54" t="s">
        <v>734</v>
      </c>
      <c r="C7" s="33" t="n">
        <f aca="false">N38</f>
        <v>4693.94</v>
      </c>
      <c r="D7" s="33" t="n">
        <f aca="false">C7-N31</f>
        <v>826.033333333333</v>
      </c>
      <c r="E7" s="33" t="n">
        <f aca="false">O38</f>
        <v>4935.13</v>
      </c>
      <c r="F7" s="33" t="n">
        <f aca="false">E7-O31</f>
        <v>-10.2699999999995</v>
      </c>
      <c r="G7" s="34" t="n">
        <f aca="false">J38</f>
        <v>1.56464666666667</v>
      </c>
      <c r="H7" s="74" t="s">
        <v>733</v>
      </c>
    </row>
    <row r="8" customFormat="false" ht="15" hidden="false" customHeight="false" outlineLevel="0" collapsed="false">
      <c r="A8" s="54" t="s">
        <v>499</v>
      </c>
      <c r="B8" s="54" t="s">
        <v>735</v>
      </c>
      <c r="C8" s="33" t="n">
        <f aca="false">N45</f>
        <v>4716.66</v>
      </c>
      <c r="D8" s="33" t="n">
        <f aca="false">C8-N31</f>
        <v>848.753333333333</v>
      </c>
      <c r="E8" s="33" t="n">
        <f aca="false">O45</f>
        <v>4957.85</v>
      </c>
      <c r="F8" s="33" t="n">
        <f aca="false">E8-O31</f>
        <v>12.4499999999998</v>
      </c>
      <c r="G8" s="34" t="n">
        <f aca="false">J45</f>
        <v>1.57222</v>
      </c>
      <c r="H8" s="74" t="s">
        <v>733</v>
      </c>
    </row>
    <row r="9" customFormat="false" ht="15" hidden="false" customHeight="false" outlineLevel="0" collapsed="false">
      <c r="A9" s="37" t="s">
        <v>500</v>
      </c>
      <c r="B9" s="21" t="s">
        <v>736</v>
      </c>
      <c r="C9" s="27" t="n">
        <f aca="false">N52</f>
        <v>4576.63333333333</v>
      </c>
      <c r="D9" s="27" t="n">
        <f aca="false">C9-N31</f>
        <v>708.726666666667</v>
      </c>
      <c r="E9" s="27" t="n">
        <f aca="false">O52</f>
        <v>4733.57</v>
      </c>
      <c r="F9" s="27" t="n">
        <f aca="false">E9-O31</f>
        <v>-211.83</v>
      </c>
      <c r="G9" s="24" t="n">
        <f aca="false">J52</f>
        <v>1.52554444444444</v>
      </c>
      <c r="H9" s="21" t="s">
        <v>733</v>
      </c>
    </row>
    <row r="10" customFormat="false" ht="15" hidden="false" customHeight="false" outlineLevel="0" collapsed="false">
      <c r="A10" s="37" t="s">
        <v>501</v>
      </c>
      <c r="B10" s="21" t="s">
        <v>737</v>
      </c>
      <c r="C10" s="27" t="n">
        <f aca="false">N59</f>
        <v>4217.12</v>
      </c>
      <c r="D10" s="27" t="n">
        <f aca="false">C10-N31</f>
        <v>349.213333333332</v>
      </c>
      <c r="E10" s="27" t="n">
        <f aca="false">O59</f>
        <v>4217.12</v>
      </c>
      <c r="F10" s="27" t="n">
        <f aca="false">E10-O31</f>
        <v>-728.280000000001</v>
      </c>
      <c r="G10" s="24" t="n">
        <f aca="false">J59</f>
        <v>1.40570666666667</v>
      </c>
      <c r="H10" s="21" t="s">
        <v>733</v>
      </c>
    </row>
    <row r="11" customFormat="false" ht="15" hidden="false" customHeight="false" outlineLevel="0" collapsed="false">
      <c r="A11" s="37" t="s">
        <v>738</v>
      </c>
      <c r="B11" s="21" t="s">
        <v>739</v>
      </c>
      <c r="C11" s="27" t="n">
        <f aca="false">N66</f>
        <v>3986</v>
      </c>
      <c r="D11" s="27" t="n">
        <f aca="false">C11-N31</f>
        <v>118.093333333333</v>
      </c>
      <c r="E11" s="27" t="n">
        <f aca="false">O66</f>
        <v>3986</v>
      </c>
      <c r="F11" s="27" t="n">
        <f aca="false">E11-O31</f>
        <v>-959.4</v>
      </c>
      <c r="G11" s="24" t="n">
        <f aca="false">J66</f>
        <v>1.32866666666667</v>
      </c>
      <c r="H11" s="21" t="s">
        <v>740</v>
      </c>
    </row>
    <row r="12" customFormat="false" ht="15" hidden="false" customHeight="false" outlineLevel="0" collapsed="false">
      <c r="A12" s="37" t="s">
        <v>502</v>
      </c>
      <c r="B12" s="21" t="s">
        <v>741</v>
      </c>
      <c r="C12" s="27" t="n">
        <f aca="false">N74</f>
        <v>7467.90666666667</v>
      </c>
      <c r="D12" s="27" t="n">
        <f aca="false">C12-N74</f>
        <v>0</v>
      </c>
      <c r="E12" s="27" t="n">
        <f aca="false">O74</f>
        <v>8545.4</v>
      </c>
      <c r="F12" s="27" t="n">
        <f aca="false">E12-O74</f>
        <v>0</v>
      </c>
      <c r="G12" s="24" t="n">
        <f aca="false">J74</f>
        <v>2.48930222222222</v>
      </c>
      <c r="H12" s="21" t="s">
        <v>733</v>
      </c>
    </row>
    <row r="13" customFormat="false" ht="15" hidden="false" customHeight="false" outlineLevel="0" collapsed="false">
      <c r="A13" s="54" t="s">
        <v>503</v>
      </c>
      <c r="B13" s="54" t="s">
        <v>742</v>
      </c>
      <c r="C13" s="33" t="n">
        <f aca="false">N81</f>
        <v>6075.42</v>
      </c>
      <c r="D13" s="33" t="n">
        <f aca="false">C13-N74</f>
        <v>-1392.48666666667</v>
      </c>
      <c r="E13" s="33" t="n">
        <f aca="false">O81</f>
        <v>6316.61</v>
      </c>
      <c r="F13" s="33" t="n">
        <f aca="false">E13-O74</f>
        <v>-2228.79</v>
      </c>
      <c r="G13" s="34" t="n">
        <f aca="false">J81</f>
        <v>2.02514</v>
      </c>
      <c r="H13" s="74" t="s">
        <v>733</v>
      </c>
    </row>
    <row r="14" customFormat="false" ht="15" hidden="false" customHeight="false" outlineLevel="0" collapsed="false">
      <c r="A14" s="54" t="s">
        <v>504</v>
      </c>
      <c r="B14" s="54" t="s">
        <v>743</v>
      </c>
      <c r="C14" s="33" t="n">
        <f aca="false">N88</f>
        <v>6091.02</v>
      </c>
      <c r="D14" s="33" t="n">
        <f aca="false">C14-N74</f>
        <v>-1376.88666666667</v>
      </c>
      <c r="E14" s="33" t="n">
        <f aca="false">O88</f>
        <v>6332.21</v>
      </c>
      <c r="F14" s="33" t="n">
        <f aca="false">E14-O74</f>
        <v>-2213.19</v>
      </c>
      <c r="G14" s="34" t="n">
        <f aca="false">J88</f>
        <v>2.03034</v>
      </c>
      <c r="H14" s="74" t="s">
        <v>733</v>
      </c>
    </row>
    <row r="15" customFormat="false" ht="15" hidden="false" customHeight="false" outlineLevel="0" collapsed="false">
      <c r="A15" s="37" t="s">
        <v>505</v>
      </c>
      <c r="B15" s="21" t="s">
        <v>744</v>
      </c>
      <c r="C15" s="27" t="n">
        <f aca="false">N95</f>
        <v>5950.99333333333</v>
      </c>
      <c r="D15" s="27" t="n">
        <f aca="false">C15-N74</f>
        <v>-1516.91333333333</v>
      </c>
      <c r="E15" s="27" t="n">
        <f aca="false">O95</f>
        <v>6107.93</v>
      </c>
      <c r="F15" s="27" t="n">
        <f aca="false">E15-O74</f>
        <v>-2437.47</v>
      </c>
      <c r="G15" s="24" t="n">
        <f aca="false">J95</f>
        <v>1.98366444444444</v>
      </c>
      <c r="H15" s="21" t="s">
        <v>733</v>
      </c>
    </row>
    <row r="16" customFormat="false" ht="15" hidden="false" customHeight="false" outlineLevel="0" collapsed="false">
      <c r="A16" s="37" t="s">
        <v>506</v>
      </c>
      <c r="B16" s="21" t="s">
        <v>745</v>
      </c>
      <c r="C16" s="27" t="n">
        <f aca="false">N102</f>
        <v>5679.64</v>
      </c>
      <c r="D16" s="27" t="n">
        <f aca="false">C16-N74</f>
        <v>-1788.26666666667</v>
      </c>
      <c r="E16" s="27" t="n">
        <f aca="false">O102</f>
        <v>6238.56</v>
      </c>
      <c r="F16" s="27" t="n">
        <f aca="false">E16-O74</f>
        <v>-2306.84</v>
      </c>
      <c r="G16" s="24" t="n">
        <f aca="false">J102</f>
        <v>1.89321333333333</v>
      </c>
      <c r="H16" s="21" t="s">
        <v>746</v>
      </c>
    </row>
    <row r="17" customFormat="false" ht="15" hidden="false" customHeight="false" outlineLevel="0" collapsed="false">
      <c r="A17" s="37" t="s">
        <v>747</v>
      </c>
      <c r="B17" s="21" t="s">
        <v>748</v>
      </c>
      <c r="C17" s="27" t="n">
        <f aca="false">N109</f>
        <v>4277.92</v>
      </c>
      <c r="D17" s="27" t="n">
        <f aca="false">C17-N74</f>
        <v>-3189.98666666667</v>
      </c>
      <c r="E17" s="27" t="n">
        <f aca="false">O109</f>
        <v>4277.92</v>
      </c>
      <c r="F17" s="27" t="n">
        <f aca="false">E17-O74</f>
        <v>-4267.48</v>
      </c>
      <c r="G17" s="24" t="n">
        <f aca="false">J109</f>
        <v>1.42597333333333</v>
      </c>
      <c r="H17" s="21" t="s">
        <v>740</v>
      </c>
    </row>
    <row r="18" customFormat="false" ht="15" hidden="false" customHeight="false" outlineLevel="0" collapsed="false">
      <c r="A18" s="17" t="s">
        <v>749</v>
      </c>
    </row>
    <row r="19" customFormat="false" ht="15" hidden="false" customHeight="false" outlineLevel="0" collapsed="false">
      <c r="A19" s="36" t="s">
        <v>750</v>
      </c>
    </row>
    <row r="20" customFormat="false" ht="15" hidden="false" customHeight="false" outlineLevel="0" collapsed="false">
      <c r="A20" s="36" t="s">
        <v>751</v>
      </c>
    </row>
    <row r="21" customFormat="false" ht="15" hidden="false" customHeight="false" outlineLevel="0" collapsed="false">
      <c r="A21" s="36" t="s">
        <v>752</v>
      </c>
    </row>
    <row r="22" customFormat="false" ht="15" hidden="false" customHeight="false" outlineLevel="0" collapsed="false">
      <c r="A22" s="36" t="s">
        <v>753</v>
      </c>
    </row>
    <row r="23" customFormat="false" ht="15" hidden="false" customHeight="false" outlineLevel="0" collapsed="false">
      <c r="A23" s="36" t="s">
        <v>754</v>
      </c>
    </row>
    <row r="25" customFormat="false" ht="15" hidden="false" customHeight="false" outlineLevel="0" collapsed="false">
      <c r="A25" s="75" t="s">
        <v>755</v>
      </c>
    </row>
    <row r="26" customFormat="false" ht="15" hidden="false" customHeight="false" outlineLevel="0" collapsed="false">
      <c r="A26" s="4" t="s">
        <v>756</v>
      </c>
      <c r="B26" s="4"/>
      <c r="C26" s="4"/>
      <c r="D26" s="4"/>
      <c r="E26" s="4"/>
      <c r="F26" s="4"/>
      <c r="G26" s="4"/>
      <c r="H26" s="4"/>
      <c r="I26" s="4"/>
      <c r="J26" s="4"/>
      <c r="K26" s="4"/>
      <c r="L26" s="4"/>
      <c r="M26" s="4"/>
      <c r="N26" s="4"/>
      <c r="O26" s="4"/>
    </row>
    <row r="27" customFormat="false" ht="42" hidden="false" customHeight="true" outlineLevel="0" collapsed="false">
      <c r="A27" s="7" t="s">
        <v>623</v>
      </c>
      <c r="B27" s="7" t="s">
        <v>61</v>
      </c>
      <c r="C27" s="7" t="s">
        <v>62</v>
      </c>
      <c r="D27" s="7" t="s">
        <v>19</v>
      </c>
      <c r="E27" s="7" t="s">
        <v>757</v>
      </c>
      <c r="F27" s="7" t="s">
        <v>24</v>
      </c>
      <c r="G27" s="7" t="s">
        <v>154</v>
      </c>
      <c r="H27" s="7" t="s">
        <v>155</v>
      </c>
      <c r="I27" s="7" t="s">
        <v>156</v>
      </c>
      <c r="J27" s="7" t="s">
        <v>157</v>
      </c>
      <c r="K27" s="7" t="s">
        <v>758</v>
      </c>
      <c r="L27" s="7" t="s">
        <v>759</v>
      </c>
      <c r="M27" s="7" t="s">
        <v>69</v>
      </c>
      <c r="N27" s="7" t="s">
        <v>636</v>
      </c>
      <c r="O27" s="7" t="s">
        <v>639</v>
      </c>
    </row>
    <row r="28" customFormat="false" ht="15" hidden="false" customHeight="false" outlineLevel="0" collapsed="false">
      <c r="A28" s="21" t="s">
        <v>73</v>
      </c>
      <c r="B28" s="6" t="s">
        <v>760</v>
      </c>
      <c r="C28" s="22" t="str">
        <f aca="false">'Regular Finish – Top 3'!B7</f>
        <v>4 oz</v>
      </c>
      <c r="D28" s="21" t="s">
        <v>37</v>
      </c>
      <c r="E28" s="23" t="n">
        <f aca="false">'Regular Finish – Top 3'!I7+'Regular Finish – Top 3'!K7</f>
        <v>0.617083333333333</v>
      </c>
      <c r="F28" s="76" t="n">
        <f aca="false">'Regular Finish – Top 3'!L7</f>
        <v>1.424</v>
      </c>
      <c r="G28" s="24" t="n">
        <f aca="false">E28*F28*(1+Inputs!$B$33)</f>
        <v>0.878726666666667</v>
      </c>
      <c r="H28" s="24" t="n">
        <v>0</v>
      </c>
      <c r="I28" s="24" t="n">
        <f aca="false">(Inputs!$B$18*Inputs!$B$10+Inputs!$B$19)/Inputs!$B$8</f>
        <v>0.366866666666667</v>
      </c>
      <c r="J28" s="25" t="n">
        <f aca="false">G28+H28+I28</f>
        <v>1.24559333333333</v>
      </c>
      <c r="K28" s="24" t="n">
        <f aca="false">'Regular Finish – Top 3'!I7*F28*Inputs!$B$34</f>
        <v>0.339683333333333</v>
      </c>
      <c r="L28" s="25" t="n">
        <f aca="false">J28+K28</f>
        <v>1.58527666666667</v>
      </c>
      <c r="M28" s="26" t="n">
        <f aca="false">Inputs!$B$5</f>
        <v>2000</v>
      </c>
      <c r="N28" s="27" t="n">
        <f aca="false">J28*M28</f>
        <v>2491.18666666667</v>
      </c>
      <c r="O28" s="27" t="n">
        <f aca="false">L28*M28</f>
        <v>3170.55333333333</v>
      </c>
    </row>
    <row r="29" customFormat="false" ht="15" hidden="false" customHeight="false" outlineLevel="0" collapsed="false">
      <c r="A29" s="21" t="s">
        <v>75</v>
      </c>
      <c r="B29" s="6" t="s">
        <v>760</v>
      </c>
      <c r="C29" s="22" t="str">
        <f aca="false">'Regular Finish – Top 3'!B8</f>
        <v>6 oz</v>
      </c>
      <c r="D29" s="21" t="s">
        <v>37</v>
      </c>
      <c r="E29" s="23" t="n">
        <f aca="false">'Regular Finish – Top 3'!I8+'Regular Finish – Top 3'!K8</f>
        <v>0.8075</v>
      </c>
      <c r="F29" s="76" t="n">
        <f aca="false">'Regular Finish – Top 3'!L8</f>
        <v>1.424</v>
      </c>
      <c r="G29" s="24" t="n">
        <f aca="false">E29*F29*(1+Inputs!$B$33)</f>
        <v>1.14988</v>
      </c>
      <c r="H29" s="24" t="n">
        <v>0</v>
      </c>
      <c r="I29" s="24" t="n">
        <f aca="false">(Inputs!$B$18*Inputs!$B$10+Inputs!$B$19)/Inputs!$B$8</f>
        <v>0.366866666666667</v>
      </c>
      <c r="J29" s="25" t="n">
        <f aca="false">G29+H29+I29</f>
        <v>1.51674666666667</v>
      </c>
      <c r="K29" s="24" t="n">
        <f aca="false">'Regular Finish – Top 3'!I8*F29*Inputs!$B$34</f>
        <v>0.48238</v>
      </c>
      <c r="L29" s="25" t="n">
        <f aca="false">J29+K29</f>
        <v>1.99912666666667</v>
      </c>
      <c r="M29" s="26" t="n">
        <f aca="false">Inputs!$B$6</f>
        <v>500</v>
      </c>
      <c r="N29" s="27" t="n">
        <f aca="false">J29*M29</f>
        <v>758.373333333333</v>
      </c>
      <c r="O29" s="27" t="n">
        <f aca="false">L29*M29</f>
        <v>999.563333333333</v>
      </c>
    </row>
    <row r="30" customFormat="false" ht="15" hidden="false" customHeight="false" outlineLevel="0" collapsed="false">
      <c r="A30" s="21" t="s">
        <v>166</v>
      </c>
      <c r="B30" s="6" t="s">
        <v>760</v>
      </c>
      <c r="C30" s="22" t="str">
        <f aca="false">'Regular Finish – Top 3'!B9</f>
        <v>9 oz</v>
      </c>
      <c r="D30" s="21" t="s">
        <v>37</v>
      </c>
      <c r="E30" s="23" t="n">
        <f aca="false">'Regular Finish – Top 3'!I9+'Regular Finish – Top 3'!K9</f>
        <v>0.610833333333333</v>
      </c>
      <c r="F30" s="76" t="n">
        <f aca="false">'Regular Finish – Top 3'!L9</f>
        <v>1.424</v>
      </c>
      <c r="G30" s="24" t="n">
        <f aca="false">E30*F30*(1+Inputs!$B$33)</f>
        <v>0.869826666666667</v>
      </c>
      <c r="H30" s="24" t="n">
        <v>0</v>
      </c>
      <c r="I30" s="24" t="n">
        <f aca="false">(Inputs!$B$18*Inputs!$B$10+Inputs!$B$19)/Inputs!$B$8</f>
        <v>0.366866666666667</v>
      </c>
      <c r="J30" s="25" t="n">
        <f aca="false">G30+H30+I30</f>
        <v>1.23669333333333</v>
      </c>
      <c r="K30" s="24" t="n">
        <f aca="false">'Regular Finish – Top 3'!I9*F30*Inputs!$B$34</f>
        <v>0.313873333333333</v>
      </c>
      <c r="L30" s="25" t="n">
        <f aca="false">J30+K30</f>
        <v>1.55056666666667</v>
      </c>
      <c r="M30" s="26" t="n">
        <f aca="false">Inputs!$B$7</f>
        <v>500</v>
      </c>
      <c r="N30" s="27" t="n">
        <f aca="false">J30*M30</f>
        <v>618.346666666667</v>
      </c>
      <c r="O30" s="27" t="n">
        <f aca="false">L30*M30</f>
        <v>775.283333333333</v>
      </c>
    </row>
    <row r="31" customFormat="false" ht="15" hidden="false" customHeight="false" outlineLevel="0" collapsed="false">
      <c r="A31" s="28" t="s">
        <v>761</v>
      </c>
      <c r="B31" s="29"/>
      <c r="C31" s="29"/>
      <c r="D31" s="29"/>
      <c r="E31" s="29"/>
      <c r="F31" s="29"/>
      <c r="G31" s="29"/>
      <c r="H31" s="29"/>
      <c r="I31" s="29"/>
      <c r="J31" s="25" t="n">
        <f aca="false">N31/M31</f>
        <v>1.28930222222222</v>
      </c>
      <c r="K31" s="29"/>
      <c r="L31" s="25" t="n">
        <f aca="false">O31/M31</f>
        <v>1.64846666666667</v>
      </c>
      <c r="M31" s="73" t="n">
        <f aca="false">SUM(M28:M30)</f>
        <v>3000</v>
      </c>
      <c r="N31" s="30" t="n">
        <f aca="false">SUM(N28:N30)</f>
        <v>3867.90666666667</v>
      </c>
      <c r="O31" s="30" t="n">
        <f aca="false">SUM(O28:O30)</f>
        <v>4945.4</v>
      </c>
    </row>
    <row r="33" customFormat="false" ht="15" hidden="false" customHeight="false" outlineLevel="0" collapsed="false">
      <c r="A33" s="4" t="s">
        <v>762</v>
      </c>
      <c r="B33" s="4"/>
      <c r="C33" s="4"/>
      <c r="D33" s="4"/>
      <c r="E33" s="4"/>
      <c r="F33" s="4"/>
      <c r="G33" s="4"/>
      <c r="H33" s="4"/>
      <c r="I33" s="4"/>
      <c r="J33" s="4"/>
      <c r="K33" s="4"/>
      <c r="L33" s="4"/>
      <c r="M33" s="4"/>
      <c r="N33" s="4"/>
      <c r="O33" s="4"/>
    </row>
    <row r="34" customFormat="false" ht="42" hidden="false" customHeight="true" outlineLevel="0" collapsed="false">
      <c r="A34" s="7" t="s">
        <v>623</v>
      </c>
      <c r="B34" s="7" t="s">
        <v>61</v>
      </c>
      <c r="C34" s="7" t="s">
        <v>62</v>
      </c>
      <c r="D34" s="7" t="s">
        <v>19</v>
      </c>
      <c r="E34" s="7" t="s">
        <v>757</v>
      </c>
      <c r="F34" s="7" t="s">
        <v>24</v>
      </c>
      <c r="G34" s="7" t="s">
        <v>154</v>
      </c>
      <c r="H34" s="7" t="s">
        <v>155</v>
      </c>
      <c r="I34" s="7" t="s">
        <v>156</v>
      </c>
      <c r="J34" s="7" t="s">
        <v>157</v>
      </c>
      <c r="K34" s="7" t="s">
        <v>758</v>
      </c>
      <c r="L34" s="7" t="s">
        <v>759</v>
      </c>
      <c r="M34" s="7" t="s">
        <v>69</v>
      </c>
      <c r="N34" s="7" t="s">
        <v>636</v>
      </c>
      <c r="O34" s="7" t="s">
        <v>639</v>
      </c>
    </row>
    <row r="35" customFormat="false" ht="15" hidden="false" customHeight="false" outlineLevel="0" collapsed="false">
      <c r="A35" s="21" t="s">
        <v>73</v>
      </c>
      <c r="B35" s="6" t="s">
        <v>74</v>
      </c>
      <c r="C35" s="22" t="str">
        <f aca="false">'Regular Finish – Top 3'!B25</f>
        <v>120 ml</v>
      </c>
      <c r="D35" s="21" t="s">
        <v>763</v>
      </c>
      <c r="E35" s="23" t="n">
        <f aca="false">'Regular Finish – Top 3'!I25+'Regular Finish – Top 3'!K25</f>
        <v>0.49</v>
      </c>
      <c r="F35" s="76" t="n">
        <f aca="false">'Regular Finish – Top 3'!L25</f>
        <v>1.424</v>
      </c>
      <c r="G35" s="24" t="n">
        <f aca="false">E35*F35*(1+Inputs!$B$33)</f>
        <v>0.69776</v>
      </c>
      <c r="H35" s="24" t="n">
        <v>0</v>
      </c>
      <c r="I35" s="24" t="n">
        <f aca="false">(Inputs!$B$27+Inputs!$B$30)/(Inputs!$B$5+Inputs!$B$7)</f>
        <v>0.672</v>
      </c>
      <c r="J35" s="25" t="n">
        <f aca="false">G35+H35+I35</f>
        <v>1.36976</v>
      </c>
      <c r="K35" s="24" t="n">
        <v>0</v>
      </c>
      <c r="L35" s="25" t="n">
        <f aca="false">J35+K35</f>
        <v>1.36976</v>
      </c>
      <c r="M35" s="26" t="n">
        <f aca="false">Inputs!$B$5</f>
        <v>2000</v>
      </c>
      <c r="N35" s="27" t="n">
        <f aca="false">J35*M35</f>
        <v>2739.52</v>
      </c>
      <c r="O35" s="27" t="n">
        <f aca="false">L35*M35</f>
        <v>2739.52</v>
      </c>
    </row>
    <row r="36" customFormat="false" ht="15" hidden="false" customHeight="false" outlineLevel="0" collapsed="false">
      <c r="A36" s="21" t="s">
        <v>75</v>
      </c>
      <c r="B36" s="6" t="s">
        <v>764</v>
      </c>
      <c r="C36" s="22" t="str">
        <f aca="false">'Regular Finish – Top 3'!B8</f>
        <v>6 oz</v>
      </c>
      <c r="D36" s="21" t="s">
        <v>37</v>
      </c>
      <c r="E36" s="23" t="n">
        <f aca="false">'Regular Finish – Top 3'!I8+'Regular Finish – Top 3'!K8</f>
        <v>0.8075</v>
      </c>
      <c r="F36" s="76" t="n">
        <f aca="false">'Regular Finish – Top 3'!L8</f>
        <v>1.424</v>
      </c>
      <c r="G36" s="24" t="n">
        <f aca="false">E36*F36*(1+Inputs!$B$33)</f>
        <v>1.14988</v>
      </c>
      <c r="H36" s="24" t="n">
        <v>0</v>
      </c>
      <c r="I36" s="24" t="n">
        <f aca="false">(Inputs!$B$24*Inputs!$B$10+Inputs!$B$25)/Inputs!$B$6</f>
        <v>1.3892</v>
      </c>
      <c r="J36" s="25" t="n">
        <f aca="false">G36+H36+I36</f>
        <v>2.53908</v>
      </c>
      <c r="K36" s="24" t="n">
        <f aca="false">'Regular Finish – Top 3'!I8*F36*Inputs!$B$34</f>
        <v>0.48238</v>
      </c>
      <c r="L36" s="25" t="n">
        <f aca="false">J36+K36</f>
        <v>3.02146</v>
      </c>
      <c r="M36" s="26" t="n">
        <f aca="false">Inputs!$B$6</f>
        <v>500</v>
      </c>
      <c r="N36" s="27" t="n">
        <f aca="false">J36*M36</f>
        <v>1269.54</v>
      </c>
      <c r="O36" s="27" t="n">
        <f aca="false">L36*M36</f>
        <v>1510.73</v>
      </c>
    </row>
    <row r="37" customFormat="false" ht="15" hidden="false" customHeight="false" outlineLevel="0" collapsed="false">
      <c r="A37" s="21" t="s">
        <v>166</v>
      </c>
      <c r="B37" s="6" t="s">
        <v>74</v>
      </c>
      <c r="C37" s="22" t="str">
        <f aca="false">'Regular Finish – Top 3'!B27</f>
        <v>250 ml</v>
      </c>
      <c r="D37" s="21" t="s">
        <v>763</v>
      </c>
      <c r="E37" s="23" t="n">
        <f aca="false">'Regular Finish – Top 3'!I27+'Regular Finish – Top 3'!K27</f>
        <v>0.49</v>
      </c>
      <c r="F37" s="76" t="n">
        <f aca="false">'Regular Finish – Top 3'!L27</f>
        <v>1.424</v>
      </c>
      <c r="G37" s="24" t="n">
        <f aca="false">E37*F37*(1+Inputs!$B$33)</f>
        <v>0.69776</v>
      </c>
      <c r="H37" s="24" t="n">
        <v>0</v>
      </c>
      <c r="I37" s="24" t="n">
        <f aca="false">(Inputs!$B$27+Inputs!$B$30)/(Inputs!$B$5+Inputs!$B$7)</f>
        <v>0.672</v>
      </c>
      <c r="J37" s="25" t="n">
        <f aca="false">G37+H37+I37</f>
        <v>1.36976</v>
      </c>
      <c r="K37" s="24" t="n">
        <v>0</v>
      </c>
      <c r="L37" s="25" t="n">
        <f aca="false">J37+K37</f>
        <v>1.36976</v>
      </c>
      <c r="M37" s="26" t="n">
        <f aca="false">Inputs!$B$7</f>
        <v>500</v>
      </c>
      <c r="N37" s="27" t="n">
        <f aca="false">J37*M37</f>
        <v>684.88</v>
      </c>
      <c r="O37" s="27" t="n">
        <f aca="false">L37*M37</f>
        <v>684.88</v>
      </c>
    </row>
    <row r="38" customFormat="false" ht="15" hidden="false" customHeight="false" outlineLevel="0" collapsed="false">
      <c r="A38" s="28" t="s">
        <v>761</v>
      </c>
      <c r="B38" s="29"/>
      <c r="C38" s="29"/>
      <c r="D38" s="29"/>
      <c r="E38" s="29"/>
      <c r="F38" s="29"/>
      <c r="G38" s="29"/>
      <c r="H38" s="29"/>
      <c r="I38" s="29"/>
      <c r="J38" s="25" t="n">
        <f aca="false">N38/M38</f>
        <v>1.56464666666667</v>
      </c>
      <c r="K38" s="29"/>
      <c r="L38" s="25" t="n">
        <f aca="false">O38/M38</f>
        <v>1.64504333333333</v>
      </c>
      <c r="M38" s="73" t="n">
        <f aca="false">SUM(M35:M37)</f>
        <v>3000</v>
      </c>
      <c r="N38" s="30" t="n">
        <f aca="false">SUM(N35:N37)</f>
        <v>4693.94</v>
      </c>
      <c r="O38" s="30" t="n">
        <f aca="false">SUM(O35:O37)</f>
        <v>4935.13</v>
      </c>
    </row>
    <row r="40" customFormat="false" ht="15" hidden="false" customHeight="false" outlineLevel="0" collapsed="false">
      <c r="A40" s="4" t="s">
        <v>765</v>
      </c>
      <c r="B40" s="4"/>
      <c r="C40" s="4"/>
      <c r="D40" s="4"/>
      <c r="E40" s="4"/>
      <c r="F40" s="4"/>
      <c r="G40" s="4"/>
      <c r="H40" s="4"/>
      <c r="I40" s="4"/>
      <c r="J40" s="4"/>
      <c r="K40" s="4"/>
      <c r="L40" s="4"/>
      <c r="M40" s="4"/>
      <c r="N40" s="4"/>
      <c r="O40" s="4"/>
    </row>
    <row r="41" customFormat="false" ht="42" hidden="false" customHeight="true" outlineLevel="0" collapsed="false">
      <c r="A41" s="7" t="s">
        <v>623</v>
      </c>
      <c r="B41" s="7" t="s">
        <v>61</v>
      </c>
      <c r="C41" s="7" t="s">
        <v>62</v>
      </c>
      <c r="D41" s="7" t="s">
        <v>19</v>
      </c>
      <c r="E41" s="7" t="s">
        <v>757</v>
      </c>
      <c r="F41" s="7" t="s">
        <v>24</v>
      </c>
      <c r="G41" s="7" t="s">
        <v>154</v>
      </c>
      <c r="H41" s="7" t="s">
        <v>155</v>
      </c>
      <c r="I41" s="7" t="s">
        <v>156</v>
      </c>
      <c r="J41" s="7" t="s">
        <v>157</v>
      </c>
      <c r="K41" s="7" t="s">
        <v>758</v>
      </c>
      <c r="L41" s="7" t="s">
        <v>759</v>
      </c>
      <c r="M41" s="7" t="s">
        <v>69</v>
      </c>
      <c r="N41" s="7" t="s">
        <v>636</v>
      </c>
      <c r="O41" s="7" t="s">
        <v>639</v>
      </c>
    </row>
    <row r="42" customFormat="false" ht="15" hidden="false" customHeight="false" outlineLevel="0" collapsed="false">
      <c r="A42" s="21" t="s">
        <v>73</v>
      </c>
      <c r="B42" s="6" t="s">
        <v>74</v>
      </c>
      <c r="C42" s="22" t="str">
        <f aca="false">'Regular Finish – Top 3'!B25</f>
        <v>120 ml</v>
      </c>
      <c r="D42" s="21" t="s">
        <v>763</v>
      </c>
      <c r="E42" s="23" t="n">
        <f aca="false">'Regular Finish – Top 3'!I25+'Regular Finish – Top 3'!K25</f>
        <v>0.49</v>
      </c>
      <c r="F42" s="76" t="n">
        <f aca="false">'Regular Finish – Top 3'!L25</f>
        <v>1.424</v>
      </c>
      <c r="G42" s="24" t="n">
        <f aca="false">E42*F42*(1+Inputs!$B$33)</f>
        <v>0.69776</v>
      </c>
      <c r="H42" s="24" t="n">
        <v>0</v>
      </c>
      <c r="I42" s="24" t="n">
        <f aca="false">(Inputs!$B$28+Inputs!$B$30)/(Inputs!$B$5+Inputs!$B$6)</f>
        <v>0.664</v>
      </c>
      <c r="J42" s="25" t="n">
        <f aca="false">G42+H42+I42</f>
        <v>1.36176</v>
      </c>
      <c r="K42" s="24" t="n">
        <v>0</v>
      </c>
      <c r="L42" s="25" t="n">
        <f aca="false">J42+K42</f>
        <v>1.36176</v>
      </c>
      <c r="M42" s="26" t="n">
        <f aca="false">Inputs!$B$5</f>
        <v>2000</v>
      </c>
      <c r="N42" s="27" t="n">
        <f aca="false">J42*M42</f>
        <v>2723.52</v>
      </c>
      <c r="O42" s="27" t="n">
        <f aca="false">L42*M42</f>
        <v>2723.52</v>
      </c>
    </row>
    <row r="43" customFormat="false" ht="15" hidden="false" customHeight="false" outlineLevel="0" collapsed="false">
      <c r="A43" s="21" t="s">
        <v>75</v>
      </c>
      <c r="B43" s="6" t="s">
        <v>74</v>
      </c>
      <c r="C43" s="22" t="str">
        <f aca="false">'Regular Finish – Top 3'!B26</f>
        <v>180–190 ml</v>
      </c>
      <c r="D43" s="21" t="s">
        <v>763</v>
      </c>
      <c r="E43" s="23" t="n">
        <f aca="false">'Regular Finish – Top 3'!I26+'Regular Finish – Top 3'!K26</f>
        <v>0.55</v>
      </c>
      <c r="F43" s="76" t="n">
        <f aca="false">'Regular Finish – Top 3'!L26</f>
        <v>1.424</v>
      </c>
      <c r="G43" s="24" t="n">
        <f aca="false">E43*F43*(1+Inputs!$B$33)</f>
        <v>0.7832</v>
      </c>
      <c r="H43" s="24" t="n">
        <v>0</v>
      </c>
      <c r="I43" s="24" t="n">
        <f aca="false">(Inputs!$B$28+Inputs!$B$30)/(Inputs!$B$5+Inputs!$B$6)</f>
        <v>0.664</v>
      </c>
      <c r="J43" s="25" t="n">
        <f aca="false">G43+H43+I43</f>
        <v>1.4472</v>
      </c>
      <c r="K43" s="24" t="n">
        <v>0</v>
      </c>
      <c r="L43" s="25" t="n">
        <f aca="false">J43+K43</f>
        <v>1.4472</v>
      </c>
      <c r="M43" s="26" t="n">
        <f aca="false">Inputs!$B$6</f>
        <v>500</v>
      </c>
      <c r="N43" s="27" t="n">
        <f aca="false">J43*M43</f>
        <v>723.6</v>
      </c>
      <c r="O43" s="27" t="n">
        <f aca="false">L43*M43</f>
        <v>723.6</v>
      </c>
    </row>
    <row r="44" customFormat="false" ht="15" hidden="false" customHeight="false" outlineLevel="0" collapsed="false">
      <c r="A44" s="21" t="s">
        <v>166</v>
      </c>
      <c r="B44" s="6" t="s">
        <v>766</v>
      </c>
      <c r="C44" s="22" t="str">
        <f aca="false">'Regular Finish – Top 3'!B8</f>
        <v>6 oz</v>
      </c>
      <c r="D44" s="21" t="s">
        <v>37</v>
      </c>
      <c r="E44" s="23" t="n">
        <f aca="false">'Regular Finish – Top 3'!I8+'Regular Finish – Top 3'!K8</f>
        <v>0.8075</v>
      </c>
      <c r="F44" s="76" t="n">
        <f aca="false">'Regular Finish – Top 3'!L8</f>
        <v>1.424</v>
      </c>
      <c r="G44" s="24" t="n">
        <f aca="false">E44*F44*(1+Inputs!$B$33)</f>
        <v>1.14988</v>
      </c>
      <c r="H44" s="24" t="n">
        <v>0</v>
      </c>
      <c r="I44" s="24" t="n">
        <f aca="false">(Inputs!$B$24*Inputs!$B$10+Inputs!$B$25)/Inputs!$B$7</f>
        <v>1.3892</v>
      </c>
      <c r="J44" s="25" t="n">
        <f aca="false">G44+H44+I44</f>
        <v>2.53908</v>
      </c>
      <c r="K44" s="24" t="n">
        <f aca="false">'Regular Finish – Top 3'!I8*F44*Inputs!$B$34</f>
        <v>0.48238</v>
      </c>
      <c r="L44" s="25" t="n">
        <f aca="false">J44+K44</f>
        <v>3.02146</v>
      </c>
      <c r="M44" s="26" t="n">
        <f aca="false">Inputs!$B$7</f>
        <v>500</v>
      </c>
      <c r="N44" s="27" t="n">
        <f aca="false">J44*M44</f>
        <v>1269.54</v>
      </c>
      <c r="O44" s="27" t="n">
        <f aca="false">L44*M44</f>
        <v>1510.73</v>
      </c>
    </row>
    <row r="45" customFormat="false" ht="15" hidden="false" customHeight="false" outlineLevel="0" collapsed="false">
      <c r="A45" s="28" t="s">
        <v>761</v>
      </c>
      <c r="B45" s="29"/>
      <c r="C45" s="29"/>
      <c r="D45" s="29"/>
      <c r="E45" s="29"/>
      <c r="F45" s="29"/>
      <c r="G45" s="29"/>
      <c r="H45" s="29"/>
      <c r="I45" s="29"/>
      <c r="J45" s="25" t="n">
        <f aca="false">N45/M45</f>
        <v>1.57222</v>
      </c>
      <c r="K45" s="29"/>
      <c r="L45" s="25" t="n">
        <f aca="false">O45/M45</f>
        <v>1.65261666666667</v>
      </c>
      <c r="M45" s="73" t="n">
        <f aca="false">SUM(M42:M44)</f>
        <v>3000</v>
      </c>
      <c r="N45" s="30" t="n">
        <f aca="false">SUM(N42:N44)</f>
        <v>4716.66</v>
      </c>
      <c r="O45" s="30" t="n">
        <f aca="false">SUM(O42:O44)</f>
        <v>4957.85</v>
      </c>
    </row>
    <row r="47" customFormat="false" ht="15" hidden="false" customHeight="false" outlineLevel="0" collapsed="false">
      <c r="A47" s="4" t="s">
        <v>767</v>
      </c>
      <c r="B47" s="4"/>
      <c r="C47" s="4"/>
      <c r="D47" s="4"/>
      <c r="E47" s="4"/>
      <c r="F47" s="4"/>
      <c r="G47" s="4"/>
      <c r="H47" s="4"/>
      <c r="I47" s="4"/>
      <c r="J47" s="4"/>
      <c r="K47" s="4"/>
      <c r="L47" s="4"/>
      <c r="M47" s="4"/>
      <c r="N47" s="4"/>
      <c r="O47" s="4"/>
    </row>
    <row r="48" customFormat="false" ht="42" hidden="false" customHeight="true" outlineLevel="0" collapsed="false">
      <c r="A48" s="7" t="s">
        <v>623</v>
      </c>
      <c r="B48" s="7" t="s">
        <v>61</v>
      </c>
      <c r="C48" s="7" t="s">
        <v>62</v>
      </c>
      <c r="D48" s="7" t="s">
        <v>19</v>
      </c>
      <c r="E48" s="7" t="s">
        <v>757</v>
      </c>
      <c r="F48" s="7" t="s">
        <v>24</v>
      </c>
      <c r="G48" s="7" t="s">
        <v>154</v>
      </c>
      <c r="H48" s="7" t="s">
        <v>155</v>
      </c>
      <c r="I48" s="7" t="s">
        <v>156</v>
      </c>
      <c r="J48" s="7" t="s">
        <v>157</v>
      </c>
      <c r="K48" s="7" t="s">
        <v>758</v>
      </c>
      <c r="L48" s="7" t="s">
        <v>759</v>
      </c>
      <c r="M48" s="7" t="s">
        <v>69</v>
      </c>
      <c r="N48" s="7" t="s">
        <v>636</v>
      </c>
      <c r="O48" s="7" t="s">
        <v>639</v>
      </c>
    </row>
    <row r="49" customFormat="false" ht="15" hidden="false" customHeight="false" outlineLevel="0" collapsed="false">
      <c r="A49" s="21" t="s">
        <v>73</v>
      </c>
      <c r="B49" s="6" t="s">
        <v>74</v>
      </c>
      <c r="C49" s="22" t="str">
        <f aca="false">'Regular Finish – Top 3'!B25</f>
        <v>120 ml</v>
      </c>
      <c r="D49" s="21" t="s">
        <v>763</v>
      </c>
      <c r="E49" s="23" t="n">
        <f aca="false">'Regular Finish – Top 3'!I25+'Regular Finish – Top 3'!K25</f>
        <v>0.49</v>
      </c>
      <c r="F49" s="76" t="n">
        <f aca="false">'Regular Finish – Top 3'!L25</f>
        <v>1.424</v>
      </c>
      <c r="G49" s="24" t="n">
        <f aca="false">E49*F49*(1+Inputs!$B$33)</f>
        <v>0.69776</v>
      </c>
      <c r="H49" s="24" t="n">
        <v>0</v>
      </c>
      <c r="I49" s="24" t="n">
        <f aca="false">(Inputs!$B$28+Inputs!$B$30)/(Inputs!$B$5+Inputs!$B$6)</f>
        <v>0.664</v>
      </c>
      <c r="J49" s="25" t="n">
        <f aca="false">G49+H49+I49</f>
        <v>1.36176</v>
      </c>
      <c r="K49" s="24" t="n">
        <v>0</v>
      </c>
      <c r="L49" s="25" t="n">
        <f aca="false">J49+K49</f>
        <v>1.36176</v>
      </c>
      <c r="M49" s="26" t="n">
        <f aca="false">Inputs!$B$5</f>
        <v>2000</v>
      </c>
      <c r="N49" s="27" t="n">
        <f aca="false">J49*M49</f>
        <v>2723.52</v>
      </c>
      <c r="O49" s="27" t="n">
        <f aca="false">L49*M49</f>
        <v>2723.52</v>
      </c>
    </row>
    <row r="50" customFormat="false" ht="15" hidden="false" customHeight="false" outlineLevel="0" collapsed="false">
      <c r="A50" s="21" t="s">
        <v>75</v>
      </c>
      <c r="B50" s="6" t="s">
        <v>74</v>
      </c>
      <c r="C50" s="22" t="str">
        <f aca="false">'Regular Finish – Top 3'!B26</f>
        <v>180–190 ml</v>
      </c>
      <c r="D50" s="21" t="s">
        <v>763</v>
      </c>
      <c r="E50" s="23" t="n">
        <f aca="false">'Regular Finish – Top 3'!I26+'Regular Finish – Top 3'!K26</f>
        <v>0.55</v>
      </c>
      <c r="F50" s="76" t="n">
        <f aca="false">'Regular Finish – Top 3'!L26</f>
        <v>1.424</v>
      </c>
      <c r="G50" s="24" t="n">
        <f aca="false">E50*F50*(1+Inputs!$B$33)</f>
        <v>0.7832</v>
      </c>
      <c r="H50" s="24" t="n">
        <v>0</v>
      </c>
      <c r="I50" s="24" t="n">
        <f aca="false">(Inputs!$B$28+Inputs!$B$30)/(Inputs!$B$5+Inputs!$B$6)</f>
        <v>0.664</v>
      </c>
      <c r="J50" s="25" t="n">
        <f aca="false">G50+H50+I50</f>
        <v>1.4472</v>
      </c>
      <c r="K50" s="24" t="n">
        <v>0</v>
      </c>
      <c r="L50" s="25" t="n">
        <f aca="false">J50+K50</f>
        <v>1.4472</v>
      </c>
      <c r="M50" s="26" t="n">
        <f aca="false">Inputs!$B$6</f>
        <v>500</v>
      </c>
      <c r="N50" s="27" t="n">
        <f aca="false">J50*M50</f>
        <v>723.6</v>
      </c>
      <c r="O50" s="27" t="n">
        <f aca="false">L50*M50</f>
        <v>723.6</v>
      </c>
    </row>
    <row r="51" customFormat="false" ht="15" hidden="false" customHeight="false" outlineLevel="0" collapsed="false">
      <c r="A51" s="21" t="s">
        <v>166</v>
      </c>
      <c r="B51" s="6" t="s">
        <v>764</v>
      </c>
      <c r="C51" s="22" t="str">
        <f aca="false">'Regular Finish – Top 3'!B9</f>
        <v>9 oz</v>
      </c>
      <c r="D51" s="21" t="s">
        <v>37</v>
      </c>
      <c r="E51" s="23" t="n">
        <f aca="false">'Regular Finish – Top 3'!I9+'Regular Finish – Top 3'!K9</f>
        <v>0.610833333333333</v>
      </c>
      <c r="F51" s="76" t="n">
        <f aca="false">'Regular Finish – Top 3'!L9</f>
        <v>1.424</v>
      </c>
      <c r="G51" s="24" t="n">
        <f aca="false">E51*F51*(1+Inputs!$B$33)</f>
        <v>0.869826666666667</v>
      </c>
      <c r="H51" s="24" t="n">
        <v>0</v>
      </c>
      <c r="I51" s="24" t="n">
        <f aca="false">(Inputs!$B$24*Inputs!$B$10+Inputs!$B$25)/Inputs!$B$7</f>
        <v>1.3892</v>
      </c>
      <c r="J51" s="25" t="n">
        <f aca="false">G51+H51+I51</f>
        <v>2.25902666666667</v>
      </c>
      <c r="K51" s="24" t="n">
        <f aca="false">'Regular Finish – Top 3'!I9*F51*Inputs!$B$34</f>
        <v>0.313873333333333</v>
      </c>
      <c r="L51" s="25" t="n">
        <f aca="false">J51+K51</f>
        <v>2.5729</v>
      </c>
      <c r="M51" s="26" t="n">
        <f aca="false">Inputs!$B$7</f>
        <v>500</v>
      </c>
      <c r="N51" s="27" t="n">
        <f aca="false">J51*M51</f>
        <v>1129.51333333333</v>
      </c>
      <c r="O51" s="27" t="n">
        <f aca="false">L51*M51</f>
        <v>1286.45</v>
      </c>
    </row>
    <row r="52" customFormat="false" ht="15" hidden="false" customHeight="false" outlineLevel="0" collapsed="false">
      <c r="A52" s="28" t="s">
        <v>761</v>
      </c>
      <c r="B52" s="29"/>
      <c r="C52" s="29"/>
      <c r="D52" s="29"/>
      <c r="E52" s="29"/>
      <c r="F52" s="29"/>
      <c r="G52" s="29"/>
      <c r="H52" s="29"/>
      <c r="I52" s="29"/>
      <c r="J52" s="25" t="n">
        <f aca="false">N52/M52</f>
        <v>1.52554444444444</v>
      </c>
      <c r="K52" s="29"/>
      <c r="L52" s="25" t="n">
        <f aca="false">O52/M52</f>
        <v>1.57785666666667</v>
      </c>
      <c r="M52" s="73" t="n">
        <f aca="false">SUM(M49:M51)</f>
        <v>3000</v>
      </c>
      <c r="N52" s="30" t="n">
        <f aca="false">SUM(N49:N51)</f>
        <v>4576.63333333333</v>
      </c>
      <c r="O52" s="30" t="n">
        <f aca="false">SUM(O49:O51)</f>
        <v>4733.57</v>
      </c>
    </row>
    <row r="54" customFormat="false" ht="15" hidden="false" customHeight="false" outlineLevel="0" collapsed="false">
      <c r="A54" s="4" t="s">
        <v>768</v>
      </c>
      <c r="B54" s="4"/>
      <c r="C54" s="4"/>
      <c r="D54" s="4"/>
      <c r="E54" s="4"/>
      <c r="F54" s="4"/>
      <c r="G54" s="4"/>
      <c r="H54" s="4"/>
      <c r="I54" s="4"/>
      <c r="J54" s="4"/>
      <c r="K54" s="4"/>
      <c r="L54" s="4"/>
      <c r="M54" s="4"/>
      <c r="N54" s="4"/>
      <c r="O54" s="4"/>
    </row>
    <row r="55" customFormat="false" ht="42" hidden="false" customHeight="true" outlineLevel="0" collapsed="false">
      <c r="A55" s="7" t="s">
        <v>623</v>
      </c>
      <c r="B55" s="7" t="s">
        <v>61</v>
      </c>
      <c r="C55" s="7" t="s">
        <v>62</v>
      </c>
      <c r="D55" s="7" t="s">
        <v>19</v>
      </c>
      <c r="E55" s="7" t="s">
        <v>757</v>
      </c>
      <c r="F55" s="7" t="s">
        <v>24</v>
      </c>
      <c r="G55" s="7" t="s">
        <v>154</v>
      </c>
      <c r="H55" s="7" t="s">
        <v>155</v>
      </c>
      <c r="I55" s="7" t="s">
        <v>156</v>
      </c>
      <c r="J55" s="7" t="s">
        <v>157</v>
      </c>
      <c r="K55" s="7" t="s">
        <v>758</v>
      </c>
      <c r="L55" s="7" t="s">
        <v>759</v>
      </c>
      <c r="M55" s="7" t="s">
        <v>69</v>
      </c>
      <c r="N55" s="7" t="s">
        <v>636</v>
      </c>
      <c r="O55" s="7" t="s">
        <v>639</v>
      </c>
    </row>
    <row r="56" customFormat="false" ht="15" hidden="false" customHeight="false" outlineLevel="0" collapsed="false">
      <c r="A56" s="21" t="s">
        <v>73</v>
      </c>
      <c r="B56" s="6" t="s">
        <v>74</v>
      </c>
      <c r="C56" s="22" t="str">
        <f aca="false">'Regular Finish – Top 3'!B25</f>
        <v>120 ml</v>
      </c>
      <c r="D56" s="21" t="s">
        <v>763</v>
      </c>
      <c r="E56" s="23" t="n">
        <f aca="false">'Regular Finish – Top 3'!I25+'Regular Finish – Top 3'!K25</f>
        <v>0.49</v>
      </c>
      <c r="F56" s="76" t="n">
        <f aca="false">'Regular Finish – Top 3'!L25</f>
        <v>1.424</v>
      </c>
      <c r="G56" s="24" t="n">
        <f aca="false">E56*F56*(1+Inputs!$B$33)</f>
        <v>0.69776</v>
      </c>
      <c r="H56" s="24" t="n">
        <v>0</v>
      </c>
      <c r="I56" s="24" t="n">
        <f aca="false">(Inputs!$B$28+Inputs!$B$30)/(Inputs!$B$5+Inputs!$B$6)</f>
        <v>0.664</v>
      </c>
      <c r="J56" s="25" t="n">
        <f aca="false">G56+H56+I56</f>
        <v>1.36176</v>
      </c>
      <c r="K56" s="24" t="n">
        <v>0</v>
      </c>
      <c r="L56" s="25" t="n">
        <f aca="false">J56+K56</f>
        <v>1.36176</v>
      </c>
      <c r="M56" s="26" t="n">
        <f aca="false">Inputs!$B$5</f>
        <v>2000</v>
      </c>
      <c r="N56" s="27" t="n">
        <f aca="false">J56*M56</f>
        <v>2723.52</v>
      </c>
      <c r="O56" s="27" t="n">
        <f aca="false">L56*M56</f>
        <v>2723.52</v>
      </c>
    </row>
    <row r="57" customFormat="false" ht="15" hidden="false" customHeight="false" outlineLevel="0" collapsed="false">
      <c r="A57" s="21" t="s">
        <v>75</v>
      </c>
      <c r="B57" s="6" t="s">
        <v>74</v>
      </c>
      <c r="C57" s="22" t="str">
        <f aca="false">'Regular Finish – Top 3'!B26</f>
        <v>180–190 ml</v>
      </c>
      <c r="D57" s="21" t="s">
        <v>763</v>
      </c>
      <c r="E57" s="23" t="n">
        <f aca="false">'Regular Finish – Top 3'!I26+'Regular Finish – Top 3'!K26</f>
        <v>0.55</v>
      </c>
      <c r="F57" s="76" t="n">
        <f aca="false">'Regular Finish – Top 3'!L26</f>
        <v>1.424</v>
      </c>
      <c r="G57" s="24" t="n">
        <f aca="false">E57*F57*(1+Inputs!$B$33)</f>
        <v>0.7832</v>
      </c>
      <c r="H57" s="24" t="n">
        <v>0</v>
      </c>
      <c r="I57" s="24" t="n">
        <f aca="false">(Inputs!$B$28+Inputs!$B$30)/(Inputs!$B$5+Inputs!$B$6)</f>
        <v>0.664</v>
      </c>
      <c r="J57" s="25" t="n">
        <f aca="false">G57+H57+I57</f>
        <v>1.4472</v>
      </c>
      <c r="K57" s="24" t="n">
        <v>0</v>
      </c>
      <c r="L57" s="25" t="n">
        <f aca="false">J57+K57</f>
        <v>1.4472</v>
      </c>
      <c r="M57" s="26" t="n">
        <f aca="false">Inputs!$B$6</f>
        <v>500</v>
      </c>
      <c r="N57" s="27" t="n">
        <f aca="false">J57*M57</f>
        <v>723.6</v>
      </c>
      <c r="O57" s="27" t="n">
        <f aca="false">L57*M57</f>
        <v>723.6</v>
      </c>
    </row>
    <row r="58" customFormat="false" ht="15" hidden="false" customHeight="false" outlineLevel="0" collapsed="false">
      <c r="A58" s="21" t="s">
        <v>166</v>
      </c>
      <c r="B58" s="6" t="s">
        <v>769</v>
      </c>
      <c r="C58" s="22" t="str">
        <f aca="false">'Regular Finish – Top 3'!B36</f>
        <v>9 oz</v>
      </c>
      <c r="D58" s="21" t="s">
        <v>45</v>
      </c>
      <c r="E58" s="23" t="n">
        <f aca="false">'Regular Finish – Top 3'!I36+'Regular Finish – Top 3'!K36</f>
        <v>1.24</v>
      </c>
      <c r="F58" s="76" t="n">
        <f aca="false">'Regular Finish – Top 3'!L36</f>
        <v>1</v>
      </c>
      <c r="G58" s="24" t="n">
        <f aca="false">E58*F58*(1+Inputs!$B$33)</f>
        <v>1.24</v>
      </c>
      <c r="H58" s="24" t="n">
        <v>0</v>
      </c>
      <c r="I58" s="24" t="n">
        <f aca="false">Inputs!$B$26/Inputs!$B$7</f>
        <v>0.3</v>
      </c>
      <c r="J58" s="25" t="n">
        <f aca="false">G58+H58+I58</f>
        <v>1.54</v>
      </c>
      <c r="K58" s="24" t="n">
        <v>0</v>
      </c>
      <c r="L58" s="25" t="n">
        <f aca="false">J58+K58</f>
        <v>1.54</v>
      </c>
      <c r="M58" s="26" t="n">
        <f aca="false">Inputs!$B$7</f>
        <v>500</v>
      </c>
      <c r="N58" s="27" t="n">
        <f aca="false">J58*M58</f>
        <v>770</v>
      </c>
      <c r="O58" s="27" t="n">
        <f aca="false">L58*M58</f>
        <v>770</v>
      </c>
    </row>
    <row r="59" customFormat="false" ht="15" hidden="false" customHeight="false" outlineLevel="0" collapsed="false">
      <c r="A59" s="28" t="s">
        <v>761</v>
      </c>
      <c r="B59" s="29"/>
      <c r="C59" s="29"/>
      <c r="D59" s="29"/>
      <c r="E59" s="29"/>
      <c r="F59" s="29"/>
      <c r="G59" s="29"/>
      <c r="H59" s="29"/>
      <c r="I59" s="29"/>
      <c r="J59" s="25" t="n">
        <f aca="false">N59/M59</f>
        <v>1.40570666666667</v>
      </c>
      <c r="K59" s="29"/>
      <c r="L59" s="25" t="n">
        <f aca="false">O59/M59</f>
        <v>1.40570666666667</v>
      </c>
      <c r="M59" s="73" t="n">
        <f aca="false">SUM(M56:M58)</f>
        <v>3000</v>
      </c>
      <c r="N59" s="30" t="n">
        <f aca="false">SUM(N56:N58)</f>
        <v>4217.12</v>
      </c>
      <c r="O59" s="30" t="n">
        <f aca="false">SUM(O56:O58)</f>
        <v>4217.12</v>
      </c>
    </row>
    <row r="61" customFormat="false" ht="15" hidden="false" customHeight="false" outlineLevel="0" collapsed="false">
      <c r="A61" s="4" t="s">
        <v>770</v>
      </c>
      <c r="B61" s="4"/>
      <c r="C61" s="4"/>
      <c r="D61" s="4"/>
      <c r="E61" s="4"/>
      <c r="F61" s="4"/>
      <c r="G61" s="4"/>
      <c r="H61" s="4"/>
      <c r="I61" s="4"/>
      <c r="J61" s="4"/>
      <c r="K61" s="4"/>
      <c r="L61" s="4"/>
      <c r="M61" s="4"/>
      <c r="N61" s="4"/>
      <c r="O61" s="4"/>
    </row>
    <row r="62" customFormat="false" ht="42" hidden="false" customHeight="true" outlineLevel="0" collapsed="false">
      <c r="A62" s="7" t="s">
        <v>623</v>
      </c>
      <c r="B62" s="7" t="s">
        <v>61</v>
      </c>
      <c r="C62" s="7" t="s">
        <v>62</v>
      </c>
      <c r="D62" s="7" t="s">
        <v>19</v>
      </c>
      <c r="E62" s="7" t="s">
        <v>757</v>
      </c>
      <c r="F62" s="7" t="s">
        <v>24</v>
      </c>
      <c r="G62" s="7" t="s">
        <v>154</v>
      </c>
      <c r="H62" s="7" t="s">
        <v>155</v>
      </c>
      <c r="I62" s="7" t="s">
        <v>156</v>
      </c>
      <c r="J62" s="7" t="s">
        <v>157</v>
      </c>
      <c r="K62" s="7" t="s">
        <v>758</v>
      </c>
      <c r="L62" s="7" t="s">
        <v>759</v>
      </c>
      <c r="M62" s="7" t="s">
        <v>69</v>
      </c>
      <c r="N62" s="7" t="s">
        <v>636</v>
      </c>
      <c r="O62" s="7" t="s">
        <v>639</v>
      </c>
    </row>
    <row r="63" customFormat="false" ht="15" hidden="false" customHeight="false" outlineLevel="0" collapsed="false">
      <c r="A63" s="21" t="s">
        <v>73</v>
      </c>
      <c r="B63" s="6" t="s">
        <v>74</v>
      </c>
      <c r="C63" s="22" t="str">
        <f aca="false">'Regular Finish – Top 3'!B25</f>
        <v>120 ml</v>
      </c>
      <c r="D63" s="21" t="s">
        <v>763</v>
      </c>
      <c r="E63" s="23" t="n">
        <f aca="false">'Regular Finish – Top 3'!I25+'Regular Finish – Top 3'!K25</f>
        <v>0.49</v>
      </c>
      <c r="F63" s="76" t="n">
        <f aca="false">'Regular Finish – Top 3'!L25</f>
        <v>1.424</v>
      </c>
      <c r="G63" s="24" t="n">
        <f aca="false">E63*F63*(1+Inputs!$B$33)</f>
        <v>0.69776</v>
      </c>
      <c r="H63" s="24" t="n">
        <v>0</v>
      </c>
      <c r="I63" s="24" t="n">
        <f aca="false">(Inputs!$B$21+Inputs!$B$30)/Inputs!$B$8</f>
        <v>0.616666666666667</v>
      </c>
      <c r="J63" s="25" t="n">
        <f aca="false">G63+H63+I63</f>
        <v>1.31442666666667</v>
      </c>
      <c r="K63" s="24" t="n">
        <v>0</v>
      </c>
      <c r="L63" s="25" t="n">
        <f aca="false">J63+K63</f>
        <v>1.31442666666667</v>
      </c>
      <c r="M63" s="26" t="n">
        <f aca="false">Inputs!$B$5</f>
        <v>2000</v>
      </c>
      <c r="N63" s="27" t="n">
        <f aca="false">J63*M63</f>
        <v>2628.85333333333</v>
      </c>
      <c r="O63" s="27" t="n">
        <f aca="false">L63*M63</f>
        <v>2628.85333333333</v>
      </c>
    </row>
    <row r="64" customFormat="false" ht="15" hidden="false" customHeight="false" outlineLevel="0" collapsed="false">
      <c r="A64" s="21" t="s">
        <v>75</v>
      </c>
      <c r="B64" s="6" t="s">
        <v>74</v>
      </c>
      <c r="C64" s="22" t="str">
        <f aca="false">'Regular Finish – Top 3'!B26</f>
        <v>180–190 ml</v>
      </c>
      <c r="D64" s="21" t="s">
        <v>763</v>
      </c>
      <c r="E64" s="23" t="n">
        <f aca="false">'Regular Finish – Top 3'!I26+'Regular Finish – Top 3'!K26</f>
        <v>0.55</v>
      </c>
      <c r="F64" s="76" t="n">
        <f aca="false">'Regular Finish – Top 3'!L26</f>
        <v>1.424</v>
      </c>
      <c r="G64" s="24" t="n">
        <f aca="false">E64*F64*(1+Inputs!$B$33)</f>
        <v>0.7832</v>
      </c>
      <c r="H64" s="24" t="n">
        <v>0</v>
      </c>
      <c r="I64" s="24" t="n">
        <f aca="false">(Inputs!$B$21+Inputs!$B$30)/Inputs!$B$8</f>
        <v>0.616666666666667</v>
      </c>
      <c r="J64" s="25" t="n">
        <f aca="false">G64+H64+I64</f>
        <v>1.39986666666667</v>
      </c>
      <c r="K64" s="24" t="n">
        <v>0</v>
      </c>
      <c r="L64" s="25" t="n">
        <f aca="false">J64+K64</f>
        <v>1.39986666666667</v>
      </c>
      <c r="M64" s="26" t="n">
        <f aca="false">Inputs!$B$6</f>
        <v>500</v>
      </c>
      <c r="N64" s="27" t="n">
        <f aca="false">J64*M64</f>
        <v>699.933333333333</v>
      </c>
      <c r="O64" s="27" t="n">
        <f aca="false">L64*M64</f>
        <v>699.933333333333</v>
      </c>
    </row>
    <row r="65" customFormat="false" ht="15" hidden="false" customHeight="false" outlineLevel="0" collapsed="false">
      <c r="A65" s="21" t="s">
        <v>166</v>
      </c>
      <c r="B65" s="6" t="s">
        <v>74</v>
      </c>
      <c r="C65" s="22" t="str">
        <f aca="false">'Regular Finish – Top 3'!B27</f>
        <v>250 ml</v>
      </c>
      <c r="D65" s="21" t="s">
        <v>763</v>
      </c>
      <c r="E65" s="23" t="n">
        <f aca="false">'Regular Finish – Top 3'!I27+'Regular Finish – Top 3'!K27</f>
        <v>0.49</v>
      </c>
      <c r="F65" s="76" t="n">
        <f aca="false">'Regular Finish – Top 3'!L27</f>
        <v>1.424</v>
      </c>
      <c r="G65" s="24" t="n">
        <f aca="false">E65*F65*(1+Inputs!$B$33)</f>
        <v>0.69776</v>
      </c>
      <c r="H65" s="24" t="n">
        <v>0</v>
      </c>
      <c r="I65" s="24" t="n">
        <f aca="false">(Inputs!$B$21+Inputs!$B$30)/Inputs!$B$8</f>
        <v>0.616666666666667</v>
      </c>
      <c r="J65" s="25" t="n">
        <f aca="false">G65+H65+I65</f>
        <v>1.31442666666667</v>
      </c>
      <c r="K65" s="24" t="n">
        <v>0</v>
      </c>
      <c r="L65" s="25" t="n">
        <f aca="false">J65+K65</f>
        <v>1.31442666666667</v>
      </c>
      <c r="M65" s="26" t="n">
        <f aca="false">Inputs!$B$7</f>
        <v>500</v>
      </c>
      <c r="N65" s="27" t="n">
        <f aca="false">J65*M65</f>
        <v>657.213333333333</v>
      </c>
      <c r="O65" s="27" t="n">
        <f aca="false">L65*M65</f>
        <v>657.213333333333</v>
      </c>
    </row>
    <row r="66" customFormat="false" ht="15" hidden="false" customHeight="false" outlineLevel="0" collapsed="false">
      <c r="A66" s="28" t="s">
        <v>761</v>
      </c>
      <c r="B66" s="29"/>
      <c r="C66" s="29"/>
      <c r="D66" s="29"/>
      <c r="E66" s="29"/>
      <c r="F66" s="29"/>
      <c r="G66" s="29"/>
      <c r="H66" s="29"/>
      <c r="I66" s="29"/>
      <c r="J66" s="25" t="n">
        <f aca="false">N66/M66</f>
        <v>1.32866666666667</v>
      </c>
      <c r="K66" s="29"/>
      <c r="L66" s="25" t="n">
        <f aca="false">O66/M66</f>
        <v>1.32866666666667</v>
      </c>
      <c r="M66" s="73" t="n">
        <f aca="false">SUM(M63:M65)</f>
        <v>3000</v>
      </c>
      <c r="N66" s="30" t="n">
        <f aca="false">SUM(N63:N65)</f>
        <v>3986</v>
      </c>
      <c r="O66" s="30" t="n">
        <f aca="false">SUM(O63:O65)</f>
        <v>3986</v>
      </c>
    </row>
    <row r="68" customFormat="false" ht="15" hidden="false" customHeight="false" outlineLevel="0" collapsed="false">
      <c r="A68" s="75" t="s">
        <v>771</v>
      </c>
    </row>
    <row r="69" customFormat="false" ht="15" hidden="false" customHeight="false" outlineLevel="0" collapsed="false">
      <c r="A69" s="4" t="s">
        <v>772</v>
      </c>
      <c r="B69" s="4"/>
      <c r="C69" s="4"/>
      <c r="D69" s="4"/>
      <c r="E69" s="4"/>
      <c r="F69" s="4"/>
      <c r="G69" s="4"/>
      <c r="H69" s="4"/>
      <c r="I69" s="4"/>
      <c r="J69" s="4"/>
      <c r="K69" s="4"/>
      <c r="L69" s="4"/>
      <c r="M69" s="4"/>
      <c r="N69" s="4"/>
      <c r="O69" s="4"/>
    </row>
    <row r="70" customFormat="false" ht="42" hidden="false" customHeight="true" outlineLevel="0" collapsed="false">
      <c r="A70" s="7" t="s">
        <v>623</v>
      </c>
      <c r="B70" s="7" t="s">
        <v>61</v>
      </c>
      <c r="C70" s="7" t="s">
        <v>62</v>
      </c>
      <c r="D70" s="7" t="s">
        <v>19</v>
      </c>
      <c r="E70" s="7" t="s">
        <v>757</v>
      </c>
      <c r="F70" s="7" t="s">
        <v>24</v>
      </c>
      <c r="G70" s="7" t="s">
        <v>154</v>
      </c>
      <c r="H70" s="7" t="s">
        <v>155</v>
      </c>
      <c r="I70" s="7" t="s">
        <v>156</v>
      </c>
      <c r="J70" s="7" t="s">
        <v>157</v>
      </c>
      <c r="K70" s="7" t="s">
        <v>758</v>
      </c>
      <c r="L70" s="7" t="s">
        <v>759</v>
      </c>
      <c r="M70" s="7" t="s">
        <v>69</v>
      </c>
      <c r="N70" s="7" t="s">
        <v>636</v>
      </c>
      <c r="O70" s="7" t="s">
        <v>639</v>
      </c>
    </row>
    <row r="71" customFormat="false" ht="15" hidden="false" customHeight="false" outlineLevel="0" collapsed="false">
      <c r="A71" s="21" t="s">
        <v>73</v>
      </c>
      <c r="B71" s="6" t="s">
        <v>84</v>
      </c>
      <c r="C71" s="22" t="str">
        <f aca="false">'Regular Finish – Top 3'!B7</f>
        <v>4 oz</v>
      </c>
      <c r="D71" s="21" t="s">
        <v>37</v>
      </c>
      <c r="E71" s="23" t="n">
        <f aca="false">'Regular Finish – Top 3'!I7+'Regular Finish – Top 3'!K7</f>
        <v>0.617083333333333</v>
      </c>
      <c r="F71" s="76" t="n">
        <f aca="false">'Regular Finish – Top 3'!L7</f>
        <v>1.424</v>
      </c>
      <c r="G71" s="24" t="n">
        <f aca="false">E71*F71*(1+Inputs!$B$33)</f>
        <v>0.878726666666667</v>
      </c>
      <c r="H71" s="24" t="n">
        <f aca="false">Inputs!$B$37+(Inputs!$B$38*Inputs!$B$9+Inputs!$B$39)/Inputs!$B$8</f>
        <v>1.2</v>
      </c>
      <c r="I71" s="24" t="n">
        <f aca="false">(Inputs!$B$18*Inputs!$B$10+Inputs!$B$19)/Inputs!$B$8</f>
        <v>0.366866666666667</v>
      </c>
      <c r="J71" s="25" t="n">
        <f aca="false">G71+H71+I71</f>
        <v>2.44559333333333</v>
      </c>
      <c r="K71" s="24" t="n">
        <f aca="false">'Regular Finish – Top 3'!I7*F71*Inputs!$B$34</f>
        <v>0.339683333333333</v>
      </c>
      <c r="L71" s="25" t="n">
        <f aca="false">J71+K71</f>
        <v>2.78527666666667</v>
      </c>
      <c r="M71" s="26" t="n">
        <f aca="false">Inputs!$B$5</f>
        <v>2000</v>
      </c>
      <c r="N71" s="27" t="n">
        <f aca="false">J71*M71</f>
        <v>4891.18666666667</v>
      </c>
      <c r="O71" s="27" t="n">
        <f aca="false">L71*M71</f>
        <v>5570.55333333333</v>
      </c>
    </row>
    <row r="72" customFormat="false" ht="15" hidden="false" customHeight="false" outlineLevel="0" collapsed="false">
      <c r="A72" s="21" t="s">
        <v>75</v>
      </c>
      <c r="B72" s="6" t="s">
        <v>84</v>
      </c>
      <c r="C72" s="22" t="str">
        <f aca="false">'Regular Finish – Top 3'!B8</f>
        <v>6 oz</v>
      </c>
      <c r="D72" s="21" t="s">
        <v>37</v>
      </c>
      <c r="E72" s="23" t="n">
        <f aca="false">'Regular Finish – Top 3'!I8+'Regular Finish – Top 3'!K8</f>
        <v>0.8075</v>
      </c>
      <c r="F72" s="76" t="n">
        <f aca="false">'Regular Finish – Top 3'!L8</f>
        <v>1.424</v>
      </c>
      <c r="G72" s="24" t="n">
        <f aca="false">E72*F72*(1+Inputs!$B$33)</f>
        <v>1.14988</v>
      </c>
      <c r="H72" s="24" t="n">
        <f aca="false">Inputs!$B$37+(Inputs!$B$38*Inputs!$B$9+Inputs!$B$39)/Inputs!$B$8</f>
        <v>1.2</v>
      </c>
      <c r="I72" s="24" t="n">
        <f aca="false">(Inputs!$B$18*Inputs!$B$10+Inputs!$B$19)/Inputs!$B$8</f>
        <v>0.366866666666667</v>
      </c>
      <c r="J72" s="25" t="n">
        <f aca="false">G72+H72+I72</f>
        <v>2.71674666666667</v>
      </c>
      <c r="K72" s="24" t="n">
        <f aca="false">'Regular Finish – Top 3'!I8*F72*Inputs!$B$34</f>
        <v>0.48238</v>
      </c>
      <c r="L72" s="25" t="n">
        <f aca="false">J72+K72</f>
        <v>3.19912666666667</v>
      </c>
      <c r="M72" s="26" t="n">
        <f aca="false">Inputs!$B$6</f>
        <v>500</v>
      </c>
      <c r="N72" s="27" t="n">
        <f aca="false">J72*M72</f>
        <v>1358.37333333333</v>
      </c>
      <c r="O72" s="27" t="n">
        <f aca="false">L72*M72</f>
        <v>1599.56333333333</v>
      </c>
    </row>
    <row r="73" customFormat="false" ht="15" hidden="false" customHeight="false" outlineLevel="0" collapsed="false">
      <c r="A73" s="21" t="s">
        <v>166</v>
      </c>
      <c r="B73" s="6" t="s">
        <v>84</v>
      </c>
      <c r="C73" s="22" t="str">
        <f aca="false">'Regular Finish – Top 3'!B9</f>
        <v>9 oz</v>
      </c>
      <c r="D73" s="21" t="s">
        <v>37</v>
      </c>
      <c r="E73" s="23" t="n">
        <f aca="false">'Regular Finish – Top 3'!I9+'Regular Finish – Top 3'!K9</f>
        <v>0.610833333333333</v>
      </c>
      <c r="F73" s="76" t="n">
        <f aca="false">'Regular Finish – Top 3'!L9</f>
        <v>1.424</v>
      </c>
      <c r="G73" s="24" t="n">
        <f aca="false">E73*F73*(1+Inputs!$B$33)</f>
        <v>0.869826666666667</v>
      </c>
      <c r="H73" s="24" t="n">
        <f aca="false">Inputs!$B$37+(Inputs!$B$38*Inputs!$B$9+Inputs!$B$39)/Inputs!$B$8</f>
        <v>1.2</v>
      </c>
      <c r="I73" s="24" t="n">
        <f aca="false">(Inputs!$B$18*Inputs!$B$10+Inputs!$B$19)/Inputs!$B$8</f>
        <v>0.366866666666667</v>
      </c>
      <c r="J73" s="25" t="n">
        <f aca="false">G73+H73+I73</f>
        <v>2.43669333333333</v>
      </c>
      <c r="K73" s="24" t="n">
        <f aca="false">'Regular Finish – Top 3'!I9*F73*Inputs!$B$34</f>
        <v>0.313873333333333</v>
      </c>
      <c r="L73" s="25" t="n">
        <f aca="false">J73+K73</f>
        <v>2.75056666666667</v>
      </c>
      <c r="M73" s="26" t="n">
        <f aca="false">Inputs!$B$7</f>
        <v>500</v>
      </c>
      <c r="N73" s="27" t="n">
        <f aca="false">J73*M73</f>
        <v>1218.34666666667</v>
      </c>
      <c r="O73" s="27" t="n">
        <f aca="false">L73*M73</f>
        <v>1375.28333333333</v>
      </c>
    </row>
    <row r="74" customFormat="false" ht="15" hidden="false" customHeight="false" outlineLevel="0" collapsed="false">
      <c r="A74" s="28" t="s">
        <v>761</v>
      </c>
      <c r="B74" s="29"/>
      <c r="C74" s="29"/>
      <c r="D74" s="29"/>
      <c r="E74" s="29"/>
      <c r="F74" s="29"/>
      <c r="G74" s="29"/>
      <c r="H74" s="29"/>
      <c r="I74" s="29"/>
      <c r="J74" s="25" t="n">
        <f aca="false">N74/M74</f>
        <v>2.48930222222222</v>
      </c>
      <c r="K74" s="29"/>
      <c r="L74" s="25" t="n">
        <f aca="false">O74/M74</f>
        <v>2.84846666666667</v>
      </c>
      <c r="M74" s="73" t="n">
        <f aca="false">SUM(M71:M73)</f>
        <v>3000</v>
      </c>
      <c r="N74" s="30" t="n">
        <f aca="false">SUM(N71:N73)</f>
        <v>7467.90666666667</v>
      </c>
      <c r="O74" s="30" t="n">
        <f aca="false">SUM(O71:O73)</f>
        <v>8545.4</v>
      </c>
    </row>
    <row r="76" customFormat="false" ht="15" hidden="false" customHeight="false" outlineLevel="0" collapsed="false">
      <c r="A76" s="4" t="s">
        <v>773</v>
      </c>
      <c r="B76" s="4"/>
      <c r="C76" s="4"/>
      <c r="D76" s="4"/>
      <c r="E76" s="4"/>
      <c r="F76" s="4"/>
      <c r="G76" s="4"/>
      <c r="H76" s="4"/>
      <c r="I76" s="4"/>
      <c r="J76" s="4"/>
      <c r="K76" s="4"/>
      <c r="L76" s="4"/>
      <c r="M76" s="4"/>
      <c r="N76" s="4"/>
      <c r="O76" s="4"/>
    </row>
    <row r="77" customFormat="false" ht="42" hidden="false" customHeight="true" outlineLevel="0" collapsed="false">
      <c r="A77" s="7" t="s">
        <v>623</v>
      </c>
      <c r="B77" s="7" t="s">
        <v>61</v>
      </c>
      <c r="C77" s="7" t="s">
        <v>62</v>
      </c>
      <c r="D77" s="7" t="s">
        <v>19</v>
      </c>
      <c r="E77" s="7" t="s">
        <v>757</v>
      </c>
      <c r="F77" s="7" t="s">
        <v>24</v>
      </c>
      <c r="G77" s="7" t="s">
        <v>154</v>
      </c>
      <c r="H77" s="7" t="s">
        <v>155</v>
      </c>
      <c r="I77" s="7" t="s">
        <v>156</v>
      </c>
      <c r="J77" s="7" t="s">
        <v>157</v>
      </c>
      <c r="K77" s="7" t="s">
        <v>758</v>
      </c>
      <c r="L77" s="7" t="s">
        <v>759</v>
      </c>
      <c r="M77" s="7" t="s">
        <v>69</v>
      </c>
      <c r="N77" s="7" t="s">
        <v>636</v>
      </c>
      <c r="O77" s="7" t="s">
        <v>639</v>
      </c>
    </row>
    <row r="78" customFormat="false" ht="15" hidden="false" customHeight="false" outlineLevel="0" collapsed="false">
      <c r="A78" s="21" t="s">
        <v>73</v>
      </c>
      <c r="B78" s="6" t="s">
        <v>82</v>
      </c>
      <c r="C78" s="22" t="str">
        <f aca="false">'Frosted Finish – Top 3'!B7</f>
        <v>120 ml</v>
      </c>
      <c r="D78" s="21" t="s">
        <v>763</v>
      </c>
      <c r="E78" s="23" t="n">
        <f aca="false">'Frosted Finish – Top 3'!I7+'Frosted Finish – Top 3'!K7</f>
        <v>0.53</v>
      </c>
      <c r="F78" s="76" t="n">
        <f aca="false">'Frosted Finish – Top 3'!L7</f>
        <v>1.424</v>
      </c>
      <c r="G78" s="24" t="n">
        <f aca="false">E78*F78*(1+Inputs!$B$33)</f>
        <v>0.75472</v>
      </c>
      <c r="H78" s="24" t="n">
        <v>0</v>
      </c>
      <c r="I78" s="24" t="n">
        <f aca="false">(Inputs!$B$27+Inputs!$B$30)/(Inputs!$B$5+Inputs!$B$7)</f>
        <v>0.672</v>
      </c>
      <c r="J78" s="25" t="n">
        <f aca="false">G78+H78+I78</f>
        <v>1.42672</v>
      </c>
      <c r="K78" s="24" t="n">
        <v>0</v>
      </c>
      <c r="L78" s="25" t="n">
        <f aca="false">J78+K78</f>
        <v>1.42672</v>
      </c>
      <c r="M78" s="26" t="n">
        <f aca="false">Inputs!$B$5</f>
        <v>2000</v>
      </c>
      <c r="N78" s="27" t="n">
        <f aca="false">J78*M78</f>
        <v>2853.44</v>
      </c>
      <c r="O78" s="27" t="n">
        <f aca="false">L78*M78</f>
        <v>2853.44</v>
      </c>
    </row>
    <row r="79" customFormat="false" ht="15" hidden="false" customHeight="false" outlineLevel="0" collapsed="false">
      <c r="A79" s="21" t="s">
        <v>75</v>
      </c>
      <c r="B79" s="6" t="s">
        <v>774</v>
      </c>
      <c r="C79" s="22" t="str">
        <f aca="false">'Regular Finish – Top 3'!B8</f>
        <v>6 oz</v>
      </c>
      <c r="D79" s="21" t="s">
        <v>37</v>
      </c>
      <c r="E79" s="23" t="n">
        <f aca="false">'Regular Finish – Top 3'!I8+'Regular Finish – Top 3'!K8</f>
        <v>0.8075</v>
      </c>
      <c r="F79" s="76" t="n">
        <f aca="false">'Regular Finish – Top 3'!L8</f>
        <v>1.424</v>
      </c>
      <c r="G79" s="24" t="n">
        <f aca="false">E79*F79*(1+Inputs!$B$33)</f>
        <v>1.14988</v>
      </c>
      <c r="H79" s="24" t="n">
        <f aca="false">Inputs!$B$37+(Inputs!$B$38+Inputs!$B$39)/Inputs!$B$6</f>
        <v>2.35</v>
      </c>
      <c r="I79" s="24" t="n">
        <f aca="false">(Inputs!$B$24*Inputs!$B$10+Inputs!$B$25)/Inputs!$B$6</f>
        <v>1.3892</v>
      </c>
      <c r="J79" s="25" t="n">
        <f aca="false">G79+H79+I79</f>
        <v>4.88908</v>
      </c>
      <c r="K79" s="24" t="n">
        <f aca="false">'Regular Finish – Top 3'!I8*F79*Inputs!$B$34</f>
        <v>0.48238</v>
      </c>
      <c r="L79" s="25" t="n">
        <f aca="false">J79+K79</f>
        <v>5.37146</v>
      </c>
      <c r="M79" s="26" t="n">
        <f aca="false">Inputs!$B$6</f>
        <v>500</v>
      </c>
      <c r="N79" s="27" t="n">
        <f aca="false">J79*M79</f>
        <v>2444.54</v>
      </c>
      <c r="O79" s="27" t="n">
        <f aca="false">L79*M79</f>
        <v>2685.73</v>
      </c>
    </row>
    <row r="80" customFormat="false" ht="15" hidden="false" customHeight="false" outlineLevel="0" collapsed="false">
      <c r="A80" s="21" t="s">
        <v>166</v>
      </c>
      <c r="B80" s="6" t="s">
        <v>82</v>
      </c>
      <c r="C80" s="22" t="str">
        <f aca="false">'Frosted Finish – Top 3'!B9</f>
        <v>250 ml</v>
      </c>
      <c r="D80" s="21" t="s">
        <v>763</v>
      </c>
      <c r="E80" s="23" t="n">
        <f aca="false">'Frosted Finish – Top 3'!I9+'Frosted Finish – Top 3'!K9</f>
        <v>0.62</v>
      </c>
      <c r="F80" s="76" t="n">
        <f aca="false">'Frosted Finish – Top 3'!L9</f>
        <v>1.424</v>
      </c>
      <c r="G80" s="24" t="n">
        <f aca="false">E80*F80*(1+Inputs!$B$33)</f>
        <v>0.88288</v>
      </c>
      <c r="H80" s="24" t="n">
        <v>0</v>
      </c>
      <c r="I80" s="24" t="n">
        <f aca="false">(Inputs!$B$27+Inputs!$B$30)/(Inputs!$B$5+Inputs!$B$7)</f>
        <v>0.672</v>
      </c>
      <c r="J80" s="25" t="n">
        <f aca="false">G80+H80+I80</f>
        <v>1.55488</v>
      </c>
      <c r="K80" s="24" t="n">
        <v>0</v>
      </c>
      <c r="L80" s="25" t="n">
        <f aca="false">J80+K80</f>
        <v>1.55488</v>
      </c>
      <c r="M80" s="26" t="n">
        <f aca="false">Inputs!$B$7</f>
        <v>500</v>
      </c>
      <c r="N80" s="27" t="n">
        <f aca="false">J80*M80</f>
        <v>777.44</v>
      </c>
      <c r="O80" s="27" t="n">
        <f aca="false">L80*M80</f>
        <v>777.44</v>
      </c>
    </row>
    <row r="81" customFormat="false" ht="15" hidden="false" customHeight="false" outlineLevel="0" collapsed="false">
      <c r="A81" s="28" t="s">
        <v>761</v>
      </c>
      <c r="B81" s="29"/>
      <c r="C81" s="29"/>
      <c r="D81" s="29"/>
      <c r="E81" s="29"/>
      <c r="F81" s="29"/>
      <c r="G81" s="29"/>
      <c r="H81" s="29"/>
      <c r="I81" s="29"/>
      <c r="J81" s="25" t="n">
        <f aca="false">N81/M81</f>
        <v>2.02514</v>
      </c>
      <c r="K81" s="29"/>
      <c r="L81" s="25" t="n">
        <f aca="false">O81/M81</f>
        <v>2.10553666666667</v>
      </c>
      <c r="M81" s="73" t="n">
        <f aca="false">SUM(M78:M80)</f>
        <v>3000</v>
      </c>
      <c r="N81" s="30" t="n">
        <f aca="false">SUM(N78:N80)</f>
        <v>6075.42</v>
      </c>
      <c r="O81" s="30" t="n">
        <f aca="false">SUM(O78:O80)</f>
        <v>6316.61</v>
      </c>
    </row>
    <row r="83" customFormat="false" ht="15" hidden="false" customHeight="false" outlineLevel="0" collapsed="false">
      <c r="A83" s="4" t="s">
        <v>775</v>
      </c>
      <c r="B83" s="4"/>
      <c r="C83" s="4"/>
      <c r="D83" s="4"/>
      <c r="E83" s="4"/>
      <c r="F83" s="4"/>
      <c r="G83" s="4"/>
      <c r="H83" s="4"/>
      <c r="I83" s="4"/>
      <c r="J83" s="4"/>
      <c r="K83" s="4"/>
      <c r="L83" s="4"/>
      <c r="M83" s="4"/>
      <c r="N83" s="4"/>
      <c r="O83" s="4"/>
    </row>
    <row r="84" customFormat="false" ht="42" hidden="false" customHeight="true" outlineLevel="0" collapsed="false">
      <c r="A84" s="7" t="s">
        <v>623</v>
      </c>
      <c r="B84" s="7" t="s">
        <v>61</v>
      </c>
      <c r="C84" s="7" t="s">
        <v>62</v>
      </c>
      <c r="D84" s="7" t="s">
        <v>19</v>
      </c>
      <c r="E84" s="7" t="s">
        <v>757</v>
      </c>
      <c r="F84" s="7" t="s">
        <v>24</v>
      </c>
      <c r="G84" s="7" t="s">
        <v>154</v>
      </c>
      <c r="H84" s="7" t="s">
        <v>155</v>
      </c>
      <c r="I84" s="7" t="s">
        <v>156</v>
      </c>
      <c r="J84" s="7" t="s">
        <v>157</v>
      </c>
      <c r="K84" s="7" t="s">
        <v>758</v>
      </c>
      <c r="L84" s="7" t="s">
        <v>759</v>
      </c>
      <c r="M84" s="7" t="s">
        <v>69</v>
      </c>
      <c r="N84" s="7" t="s">
        <v>636</v>
      </c>
      <c r="O84" s="7" t="s">
        <v>639</v>
      </c>
    </row>
    <row r="85" customFormat="false" ht="15" hidden="false" customHeight="false" outlineLevel="0" collapsed="false">
      <c r="A85" s="21" t="s">
        <v>73</v>
      </c>
      <c r="B85" s="6" t="s">
        <v>82</v>
      </c>
      <c r="C85" s="22" t="str">
        <f aca="false">'Frosted Finish – Top 3'!B7</f>
        <v>120 ml</v>
      </c>
      <c r="D85" s="21" t="s">
        <v>763</v>
      </c>
      <c r="E85" s="23" t="n">
        <f aca="false">'Frosted Finish – Top 3'!I7+'Frosted Finish – Top 3'!K7</f>
        <v>0.53</v>
      </c>
      <c r="F85" s="76" t="n">
        <f aca="false">'Frosted Finish – Top 3'!L7</f>
        <v>1.424</v>
      </c>
      <c r="G85" s="24" t="n">
        <f aca="false">E85*F85*(1+Inputs!$B$33)</f>
        <v>0.75472</v>
      </c>
      <c r="H85" s="24" t="n">
        <v>0</v>
      </c>
      <c r="I85" s="24" t="n">
        <f aca="false">(Inputs!$B$28+Inputs!$B$30)/(Inputs!$B$5+Inputs!$B$6)</f>
        <v>0.664</v>
      </c>
      <c r="J85" s="25" t="n">
        <f aca="false">G85+H85+I85</f>
        <v>1.41872</v>
      </c>
      <c r="K85" s="24" t="n">
        <v>0</v>
      </c>
      <c r="L85" s="25" t="n">
        <f aca="false">J85+K85</f>
        <v>1.41872</v>
      </c>
      <c r="M85" s="26" t="n">
        <f aca="false">Inputs!$B$5</f>
        <v>2000</v>
      </c>
      <c r="N85" s="27" t="n">
        <f aca="false">J85*M85</f>
        <v>2837.44</v>
      </c>
      <c r="O85" s="27" t="n">
        <f aca="false">L85*M85</f>
        <v>2837.44</v>
      </c>
    </row>
    <row r="86" customFormat="false" ht="15" hidden="false" customHeight="false" outlineLevel="0" collapsed="false">
      <c r="A86" s="21" t="s">
        <v>75</v>
      </c>
      <c r="B86" s="6" t="s">
        <v>82</v>
      </c>
      <c r="C86" s="22" t="str">
        <f aca="false">'Frosted Finish – Top 3'!B8</f>
        <v>180–190 ml</v>
      </c>
      <c r="D86" s="21" t="s">
        <v>763</v>
      </c>
      <c r="E86" s="23" t="n">
        <f aca="false">'Frosted Finish – Top 3'!I8+'Frosted Finish – Top 3'!K8</f>
        <v>0.67</v>
      </c>
      <c r="F86" s="76" t="n">
        <f aca="false">'Frosted Finish – Top 3'!L8</f>
        <v>1.424</v>
      </c>
      <c r="G86" s="24" t="n">
        <f aca="false">E86*F86*(1+Inputs!$B$33)</f>
        <v>0.95408</v>
      </c>
      <c r="H86" s="24" t="n">
        <v>0</v>
      </c>
      <c r="I86" s="24" t="n">
        <f aca="false">(Inputs!$B$28+Inputs!$B$30)/(Inputs!$B$5+Inputs!$B$6)</f>
        <v>0.664</v>
      </c>
      <c r="J86" s="25" t="n">
        <f aca="false">G86+H86+I86</f>
        <v>1.61808</v>
      </c>
      <c r="K86" s="24" t="n">
        <v>0</v>
      </c>
      <c r="L86" s="25" t="n">
        <f aca="false">J86+K86</f>
        <v>1.61808</v>
      </c>
      <c r="M86" s="26" t="n">
        <f aca="false">Inputs!$B$6</f>
        <v>500</v>
      </c>
      <c r="N86" s="27" t="n">
        <f aca="false">J86*M86</f>
        <v>809.04</v>
      </c>
      <c r="O86" s="27" t="n">
        <f aca="false">L86*M86</f>
        <v>809.04</v>
      </c>
    </row>
    <row r="87" customFormat="false" ht="15" hidden="false" customHeight="false" outlineLevel="0" collapsed="false">
      <c r="A87" s="21" t="s">
        <v>166</v>
      </c>
      <c r="B87" s="6" t="s">
        <v>776</v>
      </c>
      <c r="C87" s="22" t="str">
        <f aca="false">'Regular Finish – Top 3'!B8</f>
        <v>6 oz</v>
      </c>
      <c r="D87" s="21" t="s">
        <v>37</v>
      </c>
      <c r="E87" s="23" t="n">
        <f aca="false">'Regular Finish – Top 3'!I8+'Regular Finish – Top 3'!K8</f>
        <v>0.8075</v>
      </c>
      <c r="F87" s="76" t="n">
        <f aca="false">'Regular Finish – Top 3'!L8</f>
        <v>1.424</v>
      </c>
      <c r="G87" s="24" t="n">
        <f aca="false">E87*F87*(1+Inputs!$B$33)</f>
        <v>1.14988</v>
      </c>
      <c r="H87" s="24" t="n">
        <f aca="false">Inputs!$B$37+(Inputs!$B$38+Inputs!$B$39)/Inputs!$B$7</f>
        <v>2.35</v>
      </c>
      <c r="I87" s="24" t="n">
        <f aca="false">(Inputs!$B$24*Inputs!$B$10+Inputs!$B$25)/Inputs!$B$7</f>
        <v>1.3892</v>
      </c>
      <c r="J87" s="25" t="n">
        <f aca="false">G87+H87+I87</f>
        <v>4.88908</v>
      </c>
      <c r="K87" s="24" t="n">
        <f aca="false">'Regular Finish – Top 3'!I8*F87*Inputs!$B$34</f>
        <v>0.48238</v>
      </c>
      <c r="L87" s="25" t="n">
        <f aca="false">J87+K87</f>
        <v>5.37146</v>
      </c>
      <c r="M87" s="26" t="n">
        <f aca="false">Inputs!$B$7</f>
        <v>500</v>
      </c>
      <c r="N87" s="27" t="n">
        <f aca="false">J87*M87</f>
        <v>2444.54</v>
      </c>
      <c r="O87" s="27" t="n">
        <f aca="false">L87*M87</f>
        <v>2685.73</v>
      </c>
    </row>
    <row r="88" customFormat="false" ht="15" hidden="false" customHeight="false" outlineLevel="0" collapsed="false">
      <c r="A88" s="28" t="s">
        <v>761</v>
      </c>
      <c r="B88" s="29"/>
      <c r="C88" s="29"/>
      <c r="D88" s="29"/>
      <c r="E88" s="29"/>
      <c r="F88" s="29"/>
      <c r="G88" s="29"/>
      <c r="H88" s="29"/>
      <c r="I88" s="29"/>
      <c r="J88" s="25" t="n">
        <f aca="false">N88/M88</f>
        <v>2.03034</v>
      </c>
      <c r="K88" s="29"/>
      <c r="L88" s="25" t="n">
        <f aca="false">O88/M88</f>
        <v>2.11073666666667</v>
      </c>
      <c r="M88" s="73" t="n">
        <f aca="false">SUM(M85:M87)</f>
        <v>3000</v>
      </c>
      <c r="N88" s="30" t="n">
        <f aca="false">SUM(N85:N87)</f>
        <v>6091.02</v>
      </c>
      <c r="O88" s="30" t="n">
        <f aca="false">SUM(O85:O87)</f>
        <v>6332.21</v>
      </c>
    </row>
    <row r="90" customFormat="false" ht="15" hidden="false" customHeight="false" outlineLevel="0" collapsed="false">
      <c r="A90" s="4" t="s">
        <v>777</v>
      </c>
      <c r="B90" s="4"/>
      <c r="C90" s="4"/>
      <c r="D90" s="4"/>
      <c r="E90" s="4"/>
      <c r="F90" s="4"/>
      <c r="G90" s="4"/>
      <c r="H90" s="4"/>
      <c r="I90" s="4"/>
      <c r="J90" s="4"/>
      <c r="K90" s="4"/>
      <c r="L90" s="4"/>
      <c r="M90" s="4"/>
      <c r="N90" s="4"/>
      <c r="O90" s="4"/>
    </row>
    <row r="91" customFormat="false" ht="42" hidden="false" customHeight="true" outlineLevel="0" collapsed="false">
      <c r="A91" s="7" t="s">
        <v>623</v>
      </c>
      <c r="B91" s="7" t="s">
        <v>61</v>
      </c>
      <c r="C91" s="7" t="s">
        <v>62</v>
      </c>
      <c r="D91" s="7" t="s">
        <v>19</v>
      </c>
      <c r="E91" s="7" t="s">
        <v>757</v>
      </c>
      <c r="F91" s="7" t="s">
        <v>24</v>
      </c>
      <c r="G91" s="7" t="s">
        <v>154</v>
      </c>
      <c r="H91" s="7" t="s">
        <v>155</v>
      </c>
      <c r="I91" s="7" t="s">
        <v>156</v>
      </c>
      <c r="J91" s="7" t="s">
        <v>157</v>
      </c>
      <c r="K91" s="7" t="s">
        <v>758</v>
      </c>
      <c r="L91" s="7" t="s">
        <v>759</v>
      </c>
      <c r="M91" s="7" t="s">
        <v>69</v>
      </c>
      <c r="N91" s="7" t="s">
        <v>636</v>
      </c>
      <c r="O91" s="7" t="s">
        <v>639</v>
      </c>
    </row>
    <row r="92" customFormat="false" ht="15" hidden="false" customHeight="false" outlineLevel="0" collapsed="false">
      <c r="A92" s="21" t="s">
        <v>73</v>
      </c>
      <c r="B92" s="6" t="s">
        <v>82</v>
      </c>
      <c r="C92" s="22" t="str">
        <f aca="false">'Frosted Finish – Top 3'!B7</f>
        <v>120 ml</v>
      </c>
      <c r="D92" s="21" t="s">
        <v>763</v>
      </c>
      <c r="E92" s="23" t="n">
        <f aca="false">'Frosted Finish – Top 3'!I7+'Frosted Finish – Top 3'!K7</f>
        <v>0.53</v>
      </c>
      <c r="F92" s="76" t="n">
        <f aca="false">'Frosted Finish – Top 3'!L7</f>
        <v>1.424</v>
      </c>
      <c r="G92" s="24" t="n">
        <f aca="false">E92*F92*(1+Inputs!$B$33)</f>
        <v>0.75472</v>
      </c>
      <c r="H92" s="24" t="n">
        <v>0</v>
      </c>
      <c r="I92" s="24" t="n">
        <f aca="false">(Inputs!$B$28+Inputs!$B$30)/(Inputs!$B$5+Inputs!$B$6)</f>
        <v>0.664</v>
      </c>
      <c r="J92" s="25" t="n">
        <f aca="false">G92+H92+I92</f>
        <v>1.41872</v>
      </c>
      <c r="K92" s="24" t="n">
        <v>0</v>
      </c>
      <c r="L92" s="25" t="n">
        <f aca="false">J92+K92</f>
        <v>1.41872</v>
      </c>
      <c r="M92" s="26" t="n">
        <f aca="false">Inputs!$B$5</f>
        <v>2000</v>
      </c>
      <c r="N92" s="27" t="n">
        <f aca="false">J92*M92</f>
        <v>2837.44</v>
      </c>
      <c r="O92" s="27" t="n">
        <f aca="false">L92*M92</f>
        <v>2837.44</v>
      </c>
    </row>
    <row r="93" customFormat="false" ht="15" hidden="false" customHeight="false" outlineLevel="0" collapsed="false">
      <c r="A93" s="21" t="s">
        <v>75</v>
      </c>
      <c r="B93" s="6" t="s">
        <v>82</v>
      </c>
      <c r="C93" s="22" t="str">
        <f aca="false">'Frosted Finish – Top 3'!B8</f>
        <v>180–190 ml</v>
      </c>
      <c r="D93" s="21" t="s">
        <v>763</v>
      </c>
      <c r="E93" s="23" t="n">
        <f aca="false">'Frosted Finish – Top 3'!I8+'Frosted Finish – Top 3'!K8</f>
        <v>0.67</v>
      </c>
      <c r="F93" s="76" t="n">
        <f aca="false">'Frosted Finish – Top 3'!L8</f>
        <v>1.424</v>
      </c>
      <c r="G93" s="24" t="n">
        <f aca="false">E93*F93*(1+Inputs!$B$33)</f>
        <v>0.95408</v>
      </c>
      <c r="H93" s="24" t="n">
        <v>0</v>
      </c>
      <c r="I93" s="24" t="n">
        <f aca="false">(Inputs!$B$28+Inputs!$B$30)/(Inputs!$B$5+Inputs!$B$6)</f>
        <v>0.664</v>
      </c>
      <c r="J93" s="25" t="n">
        <f aca="false">G93+H93+I93</f>
        <v>1.61808</v>
      </c>
      <c r="K93" s="24" t="n">
        <v>0</v>
      </c>
      <c r="L93" s="25" t="n">
        <f aca="false">J93+K93</f>
        <v>1.61808</v>
      </c>
      <c r="M93" s="26" t="n">
        <f aca="false">Inputs!$B$6</f>
        <v>500</v>
      </c>
      <c r="N93" s="27" t="n">
        <f aca="false">J93*M93</f>
        <v>809.04</v>
      </c>
      <c r="O93" s="27" t="n">
        <f aca="false">L93*M93</f>
        <v>809.04</v>
      </c>
    </row>
    <row r="94" customFormat="false" ht="15" hidden="false" customHeight="false" outlineLevel="0" collapsed="false">
      <c r="A94" s="21" t="s">
        <v>166</v>
      </c>
      <c r="B94" s="6" t="s">
        <v>774</v>
      </c>
      <c r="C94" s="22" t="str">
        <f aca="false">'Regular Finish – Top 3'!B9</f>
        <v>9 oz</v>
      </c>
      <c r="D94" s="21" t="s">
        <v>37</v>
      </c>
      <c r="E94" s="23" t="n">
        <f aca="false">'Regular Finish – Top 3'!I9+'Regular Finish – Top 3'!K9</f>
        <v>0.610833333333333</v>
      </c>
      <c r="F94" s="76" t="n">
        <f aca="false">'Regular Finish – Top 3'!L9</f>
        <v>1.424</v>
      </c>
      <c r="G94" s="24" t="n">
        <f aca="false">E94*F94*(1+Inputs!$B$33)</f>
        <v>0.869826666666667</v>
      </c>
      <c r="H94" s="24" t="n">
        <f aca="false">Inputs!$B$37+(Inputs!$B$38+Inputs!$B$39)/Inputs!$B$7</f>
        <v>2.35</v>
      </c>
      <c r="I94" s="24" t="n">
        <f aca="false">(Inputs!$B$24*Inputs!$B$10+Inputs!$B$25)/Inputs!$B$7</f>
        <v>1.3892</v>
      </c>
      <c r="J94" s="25" t="n">
        <f aca="false">G94+H94+I94</f>
        <v>4.60902666666667</v>
      </c>
      <c r="K94" s="24" t="n">
        <f aca="false">'Regular Finish – Top 3'!I9*F94*Inputs!$B$34</f>
        <v>0.313873333333333</v>
      </c>
      <c r="L94" s="25" t="n">
        <f aca="false">J94+K94</f>
        <v>4.9229</v>
      </c>
      <c r="M94" s="26" t="n">
        <f aca="false">Inputs!$B$7</f>
        <v>500</v>
      </c>
      <c r="N94" s="27" t="n">
        <f aca="false">J94*M94</f>
        <v>2304.51333333333</v>
      </c>
      <c r="O94" s="27" t="n">
        <f aca="false">L94*M94</f>
        <v>2461.45</v>
      </c>
    </row>
    <row r="95" customFormat="false" ht="15" hidden="false" customHeight="false" outlineLevel="0" collapsed="false">
      <c r="A95" s="28" t="s">
        <v>761</v>
      </c>
      <c r="B95" s="29"/>
      <c r="C95" s="29"/>
      <c r="D95" s="29"/>
      <c r="E95" s="29"/>
      <c r="F95" s="29"/>
      <c r="G95" s="29"/>
      <c r="H95" s="29"/>
      <c r="I95" s="29"/>
      <c r="J95" s="25" t="n">
        <f aca="false">N95/M95</f>
        <v>1.98366444444444</v>
      </c>
      <c r="K95" s="29"/>
      <c r="L95" s="25" t="n">
        <f aca="false">O95/M95</f>
        <v>2.03597666666667</v>
      </c>
      <c r="M95" s="73" t="n">
        <f aca="false">SUM(M92:M94)</f>
        <v>3000</v>
      </c>
      <c r="N95" s="30" t="n">
        <f aca="false">SUM(N92:N94)</f>
        <v>5950.99333333333</v>
      </c>
      <c r="O95" s="30" t="n">
        <f aca="false">SUM(O92:O94)</f>
        <v>6107.93</v>
      </c>
    </row>
    <row r="97" customFormat="false" ht="15" hidden="false" customHeight="false" outlineLevel="0" collapsed="false">
      <c r="A97" s="4" t="s">
        <v>778</v>
      </c>
      <c r="B97" s="4"/>
      <c r="C97" s="4"/>
      <c r="D97" s="4"/>
      <c r="E97" s="4"/>
      <c r="F97" s="4"/>
      <c r="G97" s="4"/>
      <c r="H97" s="4"/>
      <c r="I97" s="4"/>
      <c r="J97" s="4"/>
      <c r="K97" s="4"/>
      <c r="L97" s="4"/>
      <c r="M97" s="4"/>
      <c r="N97" s="4"/>
      <c r="O97" s="4"/>
    </row>
    <row r="98" customFormat="false" ht="42" hidden="false" customHeight="true" outlineLevel="0" collapsed="false">
      <c r="A98" s="7" t="s">
        <v>623</v>
      </c>
      <c r="B98" s="7" t="s">
        <v>61</v>
      </c>
      <c r="C98" s="7" t="s">
        <v>62</v>
      </c>
      <c r="D98" s="7" t="s">
        <v>19</v>
      </c>
      <c r="E98" s="7" t="s">
        <v>757</v>
      </c>
      <c r="F98" s="7" t="s">
        <v>24</v>
      </c>
      <c r="G98" s="7" t="s">
        <v>154</v>
      </c>
      <c r="H98" s="7" t="s">
        <v>155</v>
      </c>
      <c r="I98" s="7" t="s">
        <v>156</v>
      </c>
      <c r="J98" s="7" t="s">
        <v>157</v>
      </c>
      <c r="K98" s="7" t="s">
        <v>758</v>
      </c>
      <c r="L98" s="7" t="s">
        <v>759</v>
      </c>
      <c r="M98" s="7" t="s">
        <v>69</v>
      </c>
      <c r="N98" s="7" t="s">
        <v>636</v>
      </c>
      <c r="O98" s="7" t="s">
        <v>639</v>
      </c>
    </row>
    <row r="99" customFormat="false" ht="15" hidden="false" customHeight="false" outlineLevel="0" collapsed="false">
      <c r="A99" s="21" t="s">
        <v>73</v>
      </c>
      <c r="B99" s="6" t="s">
        <v>82</v>
      </c>
      <c r="C99" s="22" t="str">
        <f aca="false">'Frosted Finish – Top 3'!B7</f>
        <v>120 ml</v>
      </c>
      <c r="D99" s="21" t="s">
        <v>763</v>
      </c>
      <c r="E99" s="23" t="n">
        <f aca="false">'Frosted Finish – Top 3'!I7+'Frosted Finish – Top 3'!K7</f>
        <v>0.53</v>
      </c>
      <c r="F99" s="76" t="n">
        <f aca="false">'Frosted Finish – Top 3'!L7</f>
        <v>1.424</v>
      </c>
      <c r="G99" s="24" t="n">
        <f aca="false">E99*F99*(1+Inputs!$B$33)</f>
        <v>0.75472</v>
      </c>
      <c r="H99" s="24" t="n">
        <v>0</v>
      </c>
      <c r="I99" s="24" t="n">
        <f aca="false">(Inputs!$B$28+Inputs!$B$30)/(Inputs!$B$5+Inputs!$B$6)</f>
        <v>0.664</v>
      </c>
      <c r="J99" s="25" t="n">
        <f aca="false">G99+H99+I99</f>
        <v>1.41872</v>
      </c>
      <c r="K99" s="24" t="n">
        <v>0</v>
      </c>
      <c r="L99" s="25" t="n">
        <f aca="false">J99+K99</f>
        <v>1.41872</v>
      </c>
      <c r="M99" s="26" t="n">
        <f aca="false">Inputs!$B$5</f>
        <v>2000</v>
      </c>
      <c r="N99" s="27" t="n">
        <f aca="false">J99*M99</f>
        <v>2837.44</v>
      </c>
      <c r="O99" s="27" t="n">
        <f aca="false">L99*M99</f>
        <v>2837.44</v>
      </c>
    </row>
    <row r="100" customFormat="false" ht="15" hidden="false" customHeight="false" outlineLevel="0" collapsed="false">
      <c r="A100" s="21" t="s">
        <v>75</v>
      </c>
      <c r="B100" s="6" t="s">
        <v>82</v>
      </c>
      <c r="C100" s="22" t="str">
        <f aca="false">'Frosted Finish – Top 3'!B8</f>
        <v>180–190 ml</v>
      </c>
      <c r="D100" s="21" t="s">
        <v>763</v>
      </c>
      <c r="E100" s="23" t="n">
        <f aca="false">'Frosted Finish – Top 3'!I8+'Frosted Finish – Top 3'!K8</f>
        <v>0.67</v>
      </c>
      <c r="F100" s="76" t="n">
        <f aca="false">'Frosted Finish – Top 3'!L8</f>
        <v>1.424</v>
      </c>
      <c r="G100" s="24" t="n">
        <f aca="false">E100*F100*(1+Inputs!$B$33)</f>
        <v>0.95408</v>
      </c>
      <c r="H100" s="24" t="n">
        <v>0</v>
      </c>
      <c r="I100" s="24" t="n">
        <f aca="false">(Inputs!$B$28+Inputs!$B$30)/(Inputs!$B$5+Inputs!$B$6)</f>
        <v>0.664</v>
      </c>
      <c r="J100" s="25" t="n">
        <f aca="false">G100+H100+I100</f>
        <v>1.61808</v>
      </c>
      <c r="K100" s="24" t="n">
        <v>0</v>
      </c>
      <c r="L100" s="25" t="n">
        <f aca="false">J100+K100</f>
        <v>1.61808</v>
      </c>
      <c r="M100" s="26" t="n">
        <f aca="false">Inputs!$B$6</f>
        <v>500</v>
      </c>
      <c r="N100" s="27" t="n">
        <f aca="false">J100*M100</f>
        <v>809.04</v>
      </c>
      <c r="O100" s="27" t="n">
        <f aca="false">L100*M100</f>
        <v>809.04</v>
      </c>
    </row>
    <row r="101" customFormat="false" ht="15" hidden="false" customHeight="false" outlineLevel="0" collapsed="false">
      <c r="A101" s="21" t="s">
        <v>166</v>
      </c>
      <c r="B101" s="6" t="s">
        <v>779</v>
      </c>
      <c r="C101" s="22" t="str">
        <f aca="false">'Frosted Finish – Top 3'!B36</f>
        <v>9 oz</v>
      </c>
      <c r="D101" s="21" t="s">
        <v>37</v>
      </c>
      <c r="E101" s="23" t="n">
        <f aca="false">'Frosted Finish – Top 3'!I36+'Frosted Finish – Top 3'!K36</f>
        <v>1.88</v>
      </c>
      <c r="F101" s="76" t="n">
        <f aca="false">'Frosted Finish – Top 3'!L36</f>
        <v>1.424</v>
      </c>
      <c r="G101" s="24" t="n">
        <f aca="false">E101*F101*(1+Inputs!$B$33)</f>
        <v>2.67712</v>
      </c>
      <c r="H101" s="24" t="n">
        <v>0</v>
      </c>
      <c r="I101" s="24" t="n">
        <f aca="false">(Inputs!$B$24*Inputs!$B$10+Inputs!$B$25)/Inputs!$B$7</f>
        <v>1.3892</v>
      </c>
      <c r="J101" s="25" t="n">
        <f aca="false">G101+H101+I101</f>
        <v>4.06632</v>
      </c>
      <c r="K101" s="24" t="n">
        <f aca="false">'Frosted Finish – Top 3'!I36*F101*Inputs!$B$34</f>
        <v>1.11784</v>
      </c>
      <c r="L101" s="25" t="n">
        <f aca="false">J101+K101</f>
        <v>5.18416</v>
      </c>
      <c r="M101" s="26" t="n">
        <f aca="false">Inputs!$B$7</f>
        <v>500</v>
      </c>
      <c r="N101" s="27" t="n">
        <f aca="false">J101*M101</f>
        <v>2033.16</v>
      </c>
      <c r="O101" s="27" t="n">
        <f aca="false">L101*M101</f>
        <v>2592.08</v>
      </c>
    </row>
    <row r="102" customFormat="false" ht="15" hidden="false" customHeight="false" outlineLevel="0" collapsed="false">
      <c r="A102" s="28" t="s">
        <v>761</v>
      </c>
      <c r="B102" s="29"/>
      <c r="C102" s="29"/>
      <c r="D102" s="29"/>
      <c r="E102" s="29"/>
      <c r="F102" s="29"/>
      <c r="G102" s="29"/>
      <c r="H102" s="29"/>
      <c r="I102" s="29"/>
      <c r="J102" s="25" t="n">
        <f aca="false">N102/M102</f>
        <v>1.89321333333333</v>
      </c>
      <c r="K102" s="29"/>
      <c r="L102" s="25" t="n">
        <f aca="false">O102/M102</f>
        <v>2.07952</v>
      </c>
      <c r="M102" s="73" t="n">
        <f aca="false">SUM(M99:M101)</f>
        <v>3000</v>
      </c>
      <c r="N102" s="30" t="n">
        <f aca="false">SUM(N99:N101)</f>
        <v>5679.64</v>
      </c>
      <c r="O102" s="30" t="n">
        <f aca="false">SUM(O99:O101)</f>
        <v>6238.56</v>
      </c>
    </row>
    <row r="104" customFormat="false" ht="15" hidden="false" customHeight="false" outlineLevel="0" collapsed="false">
      <c r="A104" s="4" t="s">
        <v>780</v>
      </c>
      <c r="B104" s="4"/>
      <c r="C104" s="4"/>
      <c r="D104" s="4"/>
      <c r="E104" s="4"/>
      <c r="F104" s="4"/>
      <c r="G104" s="4"/>
      <c r="H104" s="4"/>
      <c r="I104" s="4"/>
      <c r="J104" s="4"/>
      <c r="K104" s="4"/>
      <c r="L104" s="4"/>
      <c r="M104" s="4"/>
      <c r="N104" s="4"/>
      <c r="O104" s="4"/>
    </row>
    <row r="105" customFormat="false" ht="42" hidden="false" customHeight="true" outlineLevel="0" collapsed="false">
      <c r="A105" s="7" t="s">
        <v>623</v>
      </c>
      <c r="B105" s="7" t="s">
        <v>61</v>
      </c>
      <c r="C105" s="7" t="s">
        <v>62</v>
      </c>
      <c r="D105" s="7" t="s">
        <v>19</v>
      </c>
      <c r="E105" s="7" t="s">
        <v>757</v>
      </c>
      <c r="F105" s="7" t="s">
        <v>24</v>
      </c>
      <c r="G105" s="7" t="s">
        <v>154</v>
      </c>
      <c r="H105" s="7" t="s">
        <v>155</v>
      </c>
      <c r="I105" s="7" t="s">
        <v>156</v>
      </c>
      <c r="J105" s="7" t="s">
        <v>157</v>
      </c>
      <c r="K105" s="7" t="s">
        <v>758</v>
      </c>
      <c r="L105" s="7" t="s">
        <v>759</v>
      </c>
      <c r="M105" s="7" t="s">
        <v>69</v>
      </c>
      <c r="N105" s="7" t="s">
        <v>636</v>
      </c>
      <c r="O105" s="7" t="s">
        <v>639</v>
      </c>
    </row>
    <row r="106" customFormat="false" ht="15" hidden="false" customHeight="false" outlineLevel="0" collapsed="false">
      <c r="A106" s="21" t="s">
        <v>73</v>
      </c>
      <c r="B106" s="6" t="s">
        <v>82</v>
      </c>
      <c r="C106" s="22" t="str">
        <f aca="false">'Frosted Finish – Top 3'!B7</f>
        <v>120 ml</v>
      </c>
      <c r="D106" s="21" t="s">
        <v>763</v>
      </c>
      <c r="E106" s="23" t="n">
        <f aca="false">'Frosted Finish – Top 3'!I7+'Frosted Finish – Top 3'!K7</f>
        <v>0.53</v>
      </c>
      <c r="F106" s="76" t="n">
        <f aca="false">'Frosted Finish – Top 3'!L7</f>
        <v>1.424</v>
      </c>
      <c r="G106" s="24" t="n">
        <f aca="false">E106*F106*(1+Inputs!$B$33)</f>
        <v>0.75472</v>
      </c>
      <c r="H106" s="24" t="n">
        <v>0</v>
      </c>
      <c r="I106" s="24" t="n">
        <f aca="false">(Inputs!$B$21+Inputs!$B$30)/Inputs!$B$8</f>
        <v>0.616666666666667</v>
      </c>
      <c r="J106" s="25" t="n">
        <f aca="false">G106+H106+I106</f>
        <v>1.37138666666667</v>
      </c>
      <c r="K106" s="24" t="n">
        <v>0</v>
      </c>
      <c r="L106" s="25" t="n">
        <f aca="false">J106+K106</f>
        <v>1.37138666666667</v>
      </c>
      <c r="M106" s="26" t="n">
        <f aca="false">Inputs!$B$5</f>
        <v>2000</v>
      </c>
      <c r="N106" s="27" t="n">
        <f aca="false">J106*M106</f>
        <v>2742.77333333333</v>
      </c>
      <c r="O106" s="27" t="n">
        <f aca="false">L106*M106</f>
        <v>2742.77333333333</v>
      </c>
    </row>
    <row r="107" customFormat="false" ht="15" hidden="false" customHeight="false" outlineLevel="0" collapsed="false">
      <c r="A107" s="21" t="s">
        <v>75</v>
      </c>
      <c r="B107" s="6" t="s">
        <v>82</v>
      </c>
      <c r="C107" s="22" t="str">
        <f aca="false">'Frosted Finish – Top 3'!B8</f>
        <v>180–190 ml</v>
      </c>
      <c r="D107" s="21" t="s">
        <v>763</v>
      </c>
      <c r="E107" s="23" t="n">
        <f aca="false">'Frosted Finish – Top 3'!I8+'Frosted Finish – Top 3'!K8</f>
        <v>0.67</v>
      </c>
      <c r="F107" s="76" t="n">
        <f aca="false">'Frosted Finish – Top 3'!L8</f>
        <v>1.424</v>
      </c>
      <c r="G107" s="24" t="n">
        <f aca="false">E107*F107*(1+Inputs!$B$33)</f>
        <v>0.95408</v>
      </c>
      <c r="H107" s="24" t="n">
        <v>0</v>
      </c>
      <c r="I107" s="24" t="n">
        <f aca="false">(Inputs!$B$21+Inputs!$B$30)/Inputs!$B$8</f>
        <v>0.616666666666667</v>
      </c>
      <c r="J107" s="25" t="n">
        <f aca="false">G107+H107+I107</f>
        <v>1.57074666666667</v>
      </c>
      <c r="K107" s="24" t="n">
        <v>0</v>
      </c>
      <c r="L107" s="25" t="n">
        <f aca="false">J107+K107</f>
        <v>1.57074666666667</v>
      </c>
      <c r="M107" s="26" t="n">
        <f aca="false">Inputs!$B$6</f>
        <v>500</v>
      </c>
      <c r="N107" s="27" t="n">
        <f aca="false">J107*M107</f>
        <v>785.373333333333</v>
      </c>
      <c r="O107" s="27" t="n">
        <f aca="false">L107*M107</f>
        <v>785.373333333333</v>
      </c>
    </row>
    <row r="108" customFormat="false" ht="15" hidden="false" customHeight="false" outlineLevel="0" collapsed="false">
      <c r="A108" s="21" t="s">
        <v>166</v>
      </c>
      <c r="B108" s="6" t="s">
        <v>82</v>
      </c>
      <c r="C108" s="22" t="str">
        <f aca="false">'Frosted Finish – Top 3'!B9</f>
        <v>250 ml</v>
      </c>
      <c r="D108" s="21" t="s">
        <v>763</v>
      </c>
      <c r="E108" s="23" t="n">
        <f aca="false">'Frosted Finish – Top 3'!I9+'Frosted Finish – Top 3'!K9</f>
        <v>0.62</v>
      </c>
      <c r="F108" s="76" t="n">
        <f aca="false">'Frosted Finish – Top 3'!L9</f>
        <v>1.424</v>
      </c>
      <c r="G108" s="24" t="n">
        <f aca="false">E108*F108*(1+Inputs!$B$33)</f>
        <v>0.88288</v>
      </c>
      <c r="H108" s="24" t="n">
        <v>0</v>
      </c>
      <c r="I108" s="24" t="n">
        <f aca="false">(Inputs!$B$21+Inputs!$B$30)/Inputs!$B$8</f>
        <v>0.616666666666667</v>
      </c>
      <c r="J108" s="25" t="n">
        <f aca="false">G108+H108+I108</f>
        <v>1.49954666666667</v>
      </c>
      <c r="K108" s="24" t="n">
        <v>0</v>
      </c>
      <c r="L108" s="25" t="n">
        <f aca="false">J108+K108</f>
        <v>1.49954666666667</v>
      </c>
      <c r="M108" s="26" t="n">
        <f aca="false">Inputs!$B$7</f>
        <v>500</v>
      </c>
      <c r="N108" s="27" t="n">
        <f aca="false">J108*M108</f>
        <v>749.773333333333</v>
      </c>
      <c r="O108" s="27" t="n">
        <f aca="false">L108*M108</f>
        <v>749.773333333333</v>
      </c>
    </row>
    <row r="109" customFormat="false" ht="15" hidden="false" customHeight="false" outlineLevel="0" collapsed="false">
      <c r="A109" s="28" t="s">
        <v>761</v>
      </c>
      <c r="B109" s="29"/>
      <c r="C109" s="29"/>
      <c r="D109" s="29"/>
      <c r="E109" s="29"/>
      <c r="F109" s="29"/>
      <c r="G109" s="29"/>
      <c r="H109" s="29"/>
      <c r="I109" s="29"/>
      <c r="J109" s="25" t="n">
        <f aca="false">N109/M109</f>
        <v>1.42597333333333</v>
      </c>
      <c r="K109" s="29"/>
      <c r="L109" s="25" t="n">
        <f aca="false">O109/M109</f>
        <v>1.42597333333333</v>
      </c>
      <c r="M109" s="73" t="n">
        <f aca="false">SUM(M106:M108)</f>
        <v>3000</v>
      </c>
      <c r="N109" s="30" t="n">
        <f aca="false">SUM(N106:N108)</f>
        <v>4277.92</v>
      </c>
      <c r="O109" s="30" t="n">
        <f aca="false">SUM(O106:O108)</f>
        <v>4277.92</v>
      </c>
    </row>
  </sheetData>
  <mergeCells count="12">
    <mergeCell ref="A26:O26"/>
    <mergeCell ref="A33:O33"/>
    <mergeCell ref="A40:O40"/>
    <mergeCell ref="A47:O47"/>
    <mergeCell ref="A54:O54"/>
    <mergeCell ref="A61:O61"/>
    <mergeCell ref="A69:O69"/>
    <mergeCell ref="A76:O76"/>
    <mergeCell ref="A83:O83"/>
    <mergeCell ref="A90:O90"/>
    <mergeCell ref="A97:O97"/>
    <mergeCell ref="A104:O104"/>
  </mergeCells>
  <conditionalFormatting sqref="C6:C10">
    <cfRule type="expression" priority="2" aboveAverage="0" equalAverage="0" bottom="0" percent="0" rank="0" text="" dxfId="0">
      <formula>C6=MIN($C$6:$C$10)</formula>
    </cfRule>
  </conditionalFormatting>
  <conditionalFormatting sqref="E6:E10">
    <cfRule type="expression" priority="3" aboveAverage="0" equalAverage="0" bottom="0" percent="0" rank="0" text="" dxfId="0">
      <formula>E6=MIN($E$6:$E$10)</formula>
    </cfRule>
  </conditionalFormatting>
  <conditionalFormatting sqref="C12:C16">
    <cfRule type="expression" priority="4" aboveAverage="0" equalAverage="0" bottom="0" percent="0" rank="0" text="" dxfId="0">
      <formula>C12=MIN($C$12:$C$16)</formula>
    </cfRule>
  </conditionalFormatting>
  <conditionalFormatting sqref="E12:E16">
    <cfRule type="expression" priority="5" aboveAverage="0" equalAverage="0" bottom="0" percent="0" rank="0" text="" dxfId="0">
      <formula>E12=MIN($E$12:$E$16)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6"/>
    <col collapsed="false" customWidth="true" hidden="false" outlineLevel="0" max="4" min="4" style="0" width="30"/>
    <col collapsed="false" customWidth="true" hidden="false" outlineLevel="0" max="5" min="5" style="0" width="14"/>
    <col collapsed="false" customWidth="true" hidden="false" outlineLevel="0" max="6" min="6" style="0" width="18"/>
    <col collapsed="false" customWidth="true" hidden="false" outlineLevel="0" max="7" min="7" style="0" width="30"/>
    <col collapsed="false" customWidth="true" hidden="false" outlineLevel="0" max="8" min="8" style="0" width="28"/>
    <col collapsed="false" customWidth="true" hidden="false" outlineLevel="0" max="9" min="9" style="0" width="26"/>
    <col collapsed="false" customWidth="true" hidden="false" outlineLevel="0" max="10" min="10" style="0" width="50"/>
  </cols>
  <sheetData>
    <row r="1" customFormat="false" ht="17.35" hidden="false" customHeight="false" outlineLevel="0" collapsed="false">
      <c r="A1" s="1" t="s">
        <v>781</v>
      </c>
    </row>
    <row r="2" customFormat="false" ht="15" hidden="false" customHeight="false" outlineLevel="0" collapsed="false">
      <c r="A2" s="2" t="s">
        <v>782</v>
      </c>
    </row>
    <row r="4" customFormat="false" ht="23.85" hidden="false" customHeight="false" outlineLevel="0" collapsed="false">
      <c r="A4" s="64" t="s">
        <v>12</v>
      </c>
      <c r="B4" s="64" t="s">
        <v>150</v>
      </c>
      <c r="C4" s="64" t="s">
        <v>783</v>
      </c>
      <c r="D4" s="64" t="s">
        <v>784</v>
      </c>
      <c r="E4" s="64" t="s">
        <v>785</v>
      </c>
      <c r="F4" s="64" t="s">
        <v>786</v>
      </c>
      <c r="G4" s="64" t="s">
        <v>787</v>
      </c>
      <c r="H4" s="64" t="s">
        <v>788</v>
      </c>
      <c r="I4" s="64" t="s">
        <v>789</v>
      </c>
      <c r="J4" s="64" t="s">
        <v>790</v>
      </c>
    </row>
    <row r="5" customFormat="false" ht="23.85" hidden="false" customHeight="false" outlineLevel="0" collapsed="false">
      <c r="A5" s="77" t="s">
        <v>201</v>
      </c>
      <c r="B5" s="77" t="s">
        <v>791</v>
      </c>
      <c r="C5" s="77" t="s">
        <v>792</v>
      </c>
      <c r="D5" s="77" t="s">
        <v>793</v>
      </c>
      <c r="E5" s="77" t="s">
        <v>733</v>
      </c>
      <c r="F5" s="77" t="s">
        <v>733</v>
      </c>
      <c r="G5" s="77" t="s">
        <v>794</v>
      </c>
      <c r="H5" s="77" t="s">
        <v>795</v>
      </c>
      <c r="I5" s="77" t="s">
        <v>796</v>
      </c>
      <c r="J5" s="78" t="s">
        <v>330</v>
      </c>
    </row>
    <row r="6" customFormat="false" ht="23.85" hidden="false" customHeight="false" outlineLevel="0" collapsed="false">
      <c r="A6" s="77" t="s">
        <v>201</v>
      </c>
      <c r="B6" s="77" t="s">
        <v>337</v>
      </c>
      <c r="C6" s="77" t="s">
        <v>797</v>
      </c>
      <c r="D6" s="77" t="s">
        <v>798</v>
      </c>
      <c r="E6" s="77" t="s">
        <v>733</v>
      </c>
      <c r="F6" s="77" t="s">
        <v>733</v>
      </c>
      <c r="G6" s="77" t="s">
        <v>799</v>
      </c>
      <c r="H6" s="77" t="s">
        <v>800</v>
      </c>
      <c r="I6" s="77" t="s">
        <v>801</v>
      </c>
      <c r="J6" s="78" t="s">
        <v>343</v>
      </c>
    </row>
    <row r="7" customFormat="false" ht="35.05" hidden="false" customHeight="false" outlineLevel="0" collapsed="false">
      <c r="A7" s="77" t="s">
        <v>201</v>
      </c>
      <c r="B7" s="77" t="s">
        <v>802</v>
      </c>
      <c r="C7" s="77" t="s">
        <v>803</v>
      </c>
      <c r="D7" s="77" t="s">
        <v>804</v>
      </c>
      <c r="E7" s="77" t="s">
        <v>805</v>
      </c>
      <c r="F7" s="77" t="s">
        <v>806</v>
      </c>
      <c r="G7" s="77" t="s">
        <v>807</v>
      </c>
      <c r="H7" s="77" t="s">
        <v>808</v>
      </c>
      <c r="I7" s="77" t="s">
        <v>809</v>
      </c>
      <c r="J7" s="78" t="s">
        <v>404</v>
      </c>
    </row>
    <row r="8" customFormat="false" ht="35.05" hidden="false" customHeight="false" outlineLevel="0" collapsed="false">
      <c r="A8" s="6" t="s">
        <v>201</v>
      </c>
      <c r="B8" s="6" t="s">
        <v>264</v>
      </c>
      <c r="C8" s="6" t="s">
        <v>810</v>
      </c>
      <c r="D8" s="6" t="s">
        <v>811</v>
      </c>
      <c r="E8" s="6" t="s">
        <v>733</v>
      </c>
      <c r="F8" s="6" t="s">
        <v>733</v>
      </c>
      <c r="G8" s="6" t="s">
        <v>812</v>
      </c>
      <c r="H8" s="6" t="s">
        <v>813</v>
      </c>
      <c r="I8" s="6" t="s">
        <v>814</v>
      </c>
      <c r="J8" s="79" t="s">
        <v>349</v>
      </c>
    </row>
    <row r="9" customFormat="false" ht="23.85" hidden="false" customHeight="false" outlineLevel="0" collapsed="false">
      <c r="A9" s="6" t="s">
        <v>201</v>
      </c>
      <c r="B9" s="6" t="s">
        <v>374</v>
      </c>
      <c r="C9" s="6" t="s">
        <v>815</v>
      </c>
      <c r="D9" s="6" t="s">
        <v>816</v>
      </c>
      <c r="E9" s="6" t="s">
        <v>817</v>
      </c>
      <c r="F9" s="6" t="s">
        <v>818</v>
      </c>
      <c r="G9" s="6" t="s">
        <v>819</v>
      </c>
      <c r="H9" s="6" t="s">
        <v>820</v>
      </c>
      <c r="I9" s="6" t="s">
        <v>821</v>
      </c>
      <c r="J9" s="79" t="s">
        <v>380</v>
      </c>
    </row>
    <row r="10" customFormat="false" ht="35.05" hidden="false" customHeight="false" outlineLevel="0" collapsed="false">
      <c r="A10" s="6" t="s">
        <v>201</v>
      </c>
      <c r="B10" s="6" t="s">
        <v>295</v>
      </c>
      <c r="C10" s="6" t="s">
        <v>822</v>
      </c>
      <c r="D10" s="6" t="s">
        <v>823</v>
      </c>
      <c r="E10" s="6" t="s">
        <v>817</v>
      </c>
      <c r="F10" s="6" t="s">
        <v>824</v>
      </c>
      <c r="G10" s="6" t="s">
        <v>825</v>
      </c>
      <c r="H10" s="6" t="s">
        <v>826</v>
      </c>
      <c r="I10" s="6" t="s">
        <v>827</v>
      </c>
      <c r="J10" s="79" t="s">
        <v>370</v>
      </c>
    </row>
    <row r="11" customFormat="false" ht="35.05" hidden="false" customHeight="false" outlineLevel="0" collapsed="false">
      <c r="A11" s="6" t="s">
        <v>201</v>
      </c>
      <c r="B11" s="6" t="s">
        <v>828</v>
      </c>
      <c r="C11" s="6" t="s">
        <v>829</v>
      </c>
      <c r="D11" s="6" t="s">
        <v>830</v>
      </c>
      <c r="E11" s="6" t="s">
        <v>817</v>
      </c>
      <c r="F11" s="6" t="s">
        <v>831</v>
      </c>
      <c r="G11" s="6" t="s">
        <v>832</v>
      </c>
      <c r="H11" s="6" t="s">
        <v>833</v>
      </c>
      <c r="I11" s="6" t="s">
        <v>834</v>
      </c>
      <c r="J11" s="79" t="s">
        <v>355</v>
      </c>
    </row>
    <row r="12" customFormat="false" ht="23.85" hidden="false" customHeight="false" outlineLevel="0" collapsed="false">
      <c r="A12" s="6" t="s">
        <v>201</v>
      </c>
      <c r="B12" s="6" t="s">
        <v>288</v>
      </c>
      <c r="C12" s="6" t="s">
        <v>835</v>
      </c>
      <c r="D12" s="6" t="s">
        <v>836</v>
      </c>
      <c r="E12" s="6" t="s">
        <v>817</v>
      </c>
      <c r="F12" s="6" t="s">
        <v>817</v>
      </c>
      <c r="G12" s="6" t="s">
        <v>837</v>
      </c>
      <c r="H12" s="6" t="s">
        <v>838</v>
      </c>
      <c r="I12" s="6" t="s">
        <v>839</v>
      </c>
      <c r="J12" s="79" t="s">
        <v>840</v>
      </c>
    </row>
    <row r="13" customFormat="false" ht="23.85" hidden="false" customHeight="false" outlineLevel="0" collapsed="false">
      <c r="A13" s="6" t="s">
        <v>201</v>
      </c>
      <c r="B13" s="6" t="s">
        <v>841</v>
      </c>
      <c r="C13" s="6" t="s">
        <v>842</v>
      </c>
      <c r="D13" s="6" t="s">
        <v>843</v>
      </c>
      <c r="E13" s="6" t="s">
        <v>844</v>
      </c>
      <c r="F13" s="6" t="s">
        <v>845</v>
      </c>
      <c r="G13" s="6" t="s">
        <v>846</v>
      </c>
      <c r="H13" s="6" t="s">
        <v>847</v>
      </c>
      <c r="I13" s="6" t="s">
        <v>839</v>
      </c>
      <c r="J13" s="79" t="s">
        <v>848</v>
      </c>
    </row>
    <row r="14" customFormat="false" ht="23.85" hidden="false" customHeight="false" outlineLevel="0" collapsed="false">
      <c r="A14" s="6" t="s">
        <v>201</v>
      </c>
      <c r="B14" s="6" t="s">
        <v>849</v>
      </c>
      <c r="C14" s="6" t="s">
        <v>850</v>
      </c>
      <c r="D14" s="6" t="s">
        <v>836</v>
      </c>
      <c r="E14" s="6" t="s">
        <v>817</v>
      </c>
      <c r="F14" s="6" t="s">
        <v>817</v>
      </c>
      <c r="G14" s="6" t="s">
        <v>851</v>
      </c>
      <c r="H14" s="6" t="s">
        <v>852</v>
      </c>
      <c r="I14" s="6" t="s">
        <v>839</v>
      </c>
      <c r="J14" s="79" t="s">
        <v>853</v>
      </c>
    </row>
    <row r="15" customFormat="false" ht="15" hidden="false" customHeight="false" outlineLevel="0" collapsed="false">
      <c r="A15" s="6" t="s">
        <v>201</v>
      </c>
      <c r="B15" s="6" t="s">
        <v>854</v>
      </c>
      <c r="C15" s="6" t="s">
        <v>855</v>
      </c>
      <c r="D15" s="6" t="s">
        <v>856</v>
      </c>
      <c r="E15" s="6" t="s">
        <v>817</v>
      </c>
      <c r="F15" s="6" t="s">
        <v>817</v>
      </c>
      <c r="G15" s="6" t="s">
        <v>857</v>
      </c>
      <c r="H15" s="6" t="s">
        <v>426</v>
      </c>
      <c r="I15" s="6" t="s">
        <v>839</v>
      </c>
      <c r="J15" s="79" t="s">
        <v>858</v>
      </c>
    </row>
    <row r="16" customFormat="false" ht="15" hidden="false" customHeight="false" outlineLevel="0" collapsed="false">
      <c r="A16" s="6" t="s">
        <v>201</v>
      </c>
      <c r="B16" s="6" t="s">
        <v>859</v>
      </c>
      <c r="C16" s="6" t="s">
        <v>855</v>
      </c>
      <c r="D16" s="6" t="s">
        <v>860</v>
      </c>
      <c r="E16" s="6" t="s">
        <v>817</v>
      </c>
      <c r="F16" s="6" t="s">
        <v>817</v>
      </c>
      <c r="G16" s="6" t="s">
        <v>861</v>
      </c>
      <c r="H16" s="6" t="s">
        <v>426</v>
      </c>
      <c r="I16" s="6" t="s">
        <v>839</v>
      </c>
      <c r="J16" s="79" t="s">
        <v>862</v>
      </c>
    </row>
    <row r="17" customFormat="false" ht="35.05" hidden="false" customHeight="false" outlineLevel="0" collapsed="false">
      <c r="A17" s="6" t="s">
        <v>201</v>
      </c>
      <c r="B17" s="6" t="s">
        <v>381</v>
      </c>
      <c r="C17" s="6" t="s">
        <v>863</v>
      </c>
      <c r="D17" s="6" t="s">
        <v>864</v>
      </c>
      <c r="E17" s="6" t="s">
        <v>817</v>
      </c>
      <c r="F17" s="6" t="s">
        <v>817</v>
      </c>
      <c r="G17" s="6" t="s">
        <v>865</v>
      </c>
      <c r="H17" s="6" t="s">
        <v>866</v>
      </c>
      <c r="I17" s="6" t="s">
        <v>867</v>
      </c>
      <c r="J17" s="79" t="s">
        <v>384</v>
      </c>
    </row>
    <row r="18" customFormat="false" ht="23.85" hidden="false" customHeight="false" outlineLevel="0" collapsed="false">
      <c r="A18" s="6" t="s">
        <v>201</v>
      </c>
      <c r="B18" s="6" t="s">
        <v>278</v>
      </c>
      <c r="C18" s="6" t="s">
        <v>868</v>
      </c>
      <c r="D18" s="6" t="s">
        <v>869</v>
      </c>
      <c r="E18" s="6" t="s">
        <v>817</v>
      </c>
      <c r="F18" s="6" t="s">
        <v>831</v>
      </c>
      <c r="G18" s="6" t="s">
        <v>870</v>
      </c>
      <c r="H18" s="6" t="s">
        <v>871</v>
      </c>
      <c r="I18" s="6" t="s">
        <v>872</v>
      </c>
      <c r="J18" s="79" t="s">
        <v>364</v>
      </c>
    </row>
    <row r="19" customFormat="false" ht="23.85" hidden="false" customHeight="false" outlineLevel="0" collapsed="false">
      <c r="A19" s="6" t="s">
        <v>201</v>
      </c>
      <c r="B19" s="6" t="s">
        <v>873</v>
      </c>
      <c r="C19" s="6" t="s">
        <v>874</v>
      </c>
      <c r="D19" s="6" t="s">
        <v>875</v>
      </c>
      <c r="E19" s="6" t="s">
        <v>876</v>
      </c>
      <c r="F19" s="6" t="s">
        <v>877</v>
      </c>
      <c r="G19" s="6" t="s">
        <v>878</v>
      </c>
      <c r="H19" s="6" t="s">
        <v>879</v>
      </c>
      <c r="I19" s="6" t="s">
        <v>880</v>
      </c>
      <c r="J19" s="79" t="s">
        <v>881</v>
      </c>
    </row>
    <row r="20" customFormat="false" ht="23.85" hidden="false" customHeight="false" outlineLevel="0" collapsed="false">
      <c r="A20" s="77" t="s">
        <v>206</v>
      </c>
      <c r="B20" s="77" t="s">
        <v>882</v>
      </c>
      <c r="C20" s="77" t="s">
        <v>803</v>
      </c>
      <c r="D20" s="77" t="s">
        <v>883</v>
      </c>
      <c r="E20" s="77" t="s">
        <v>884</v>
      </c>
      <c r="F20" s="77" t="s">
        <v>885</v>
      </c>
      <c r="G20" s="77" t="s">
        <v>886</v>
      </c>
      <c r="H20" s="77" t="s">
        <v>887</v>
      </c>
      <c r="I20" s="77" t="s">
        <v>888</v>
      </c>
      <c r="J20" s="78" t="s">
        <v>404</v>
      </c>
    </row>
    <row r="21" customFormat="false" ht="23.85" hidden="false" customHeight="false" outlineLevel="0" collapsed="false">
      <c r="A21" s="77" t="s">
        <v>206</v>
      </c>
      <c r="B21" s="77" t="s">
        <v>889</v>
      </c>
      <c r="C21" s="77" t="s">
        <v>890</v>
      </c>
      <c r="D21" s="77" t="s">
        <v>891</v>
      </c>
      <c r="E21" s="77" t="s">
        <v>733</v>
      </c>
      <c r="F21" s="77" t="s">
        <v>733</v>
      </c>
      <c r="G21" s="77" t="s">
        <v>892</v>
      </c>
      <c r="H21" s="77" t="s">
        <v>893</v>
      </c>
      <c r="I21" s="77" t="s">
        <v>801</v>
      </c>
      <c r="J21" s="78" t="s">
        <v>415</v>
      </c>
    </row>
    <row r="22" customFormat="false" ht="23.85" hidden="false" customHeight="false" outlineLevel="0" collapsed="false">
      <c r="A22" s="77" t="s">
        <v>206</v>
      </c>
      <c r="B22" s="77" t="s">
        <v>894</v>
      </c>
      <c r="C22" s="77" t="s">
        <v>890</v>
      </c>
      <c r="D22" s="77" t="s">
        <v>891</v>
      </c>
      <c r="E22" s="77" t="s">
        <v>733</v>
      </c>
      <c r="F22" s="77" t="s">
        <v>733</v>
      </c>
      <c r="G22" s="77" t="s">
        <v>895</v>
      </c>
      <c r="H22" s="77" t="s">
        <v>896</v>
      </c>
      <c r="I22" s="77" t="s">
        <v>897</v>
      </c>
      <c r="J22" s="78" t="s">
        <v>898</v>
      </c>
    </row>
    <row r="23" customFormat="false" ht="23.85" hidden="false" customHeight="false" outlineLevel="0" collapsed="false">
      <c r="A23" s="6" t="s">
        <v>206</v>
      </c>
      <c r="B23" s="6" t="s">
        <v>409</v>
      </c>
      <c r="C23" s="6" t="s">
        <v>899</v>
      </c>
      <c r="D23" s="6" t="s">
        <v>900</v>
      </c>
      <c r="E23" s="6" t="s">
        <v>817</v>
      </c>
      <c r="F23" s="6" t="s">
        <v>817</v>
      </c>
      <c r="G23" s="6" t="s">
        <v>901</v>
      </c>
      <c r="H23" s="6" t="s">
        <v>902</v>
      </c>
      <c r="I23" s="6" t="s">
        <v>903</v>
      </c>
      <c r="J23" s="79" t="s">
        <v>412</v>
      </c>
    </row>
    <row r="24" customFormat="false" ht="23.85" hidden="false" customHeight="false" outlineLevel="0" collapsed="false">
      <c r="A24" s="6" t="s">
        <v>206</v>
      </c>
      <c r="B24" s="6" t="s">
        <v>904</v>
      </c>
      <c r="C24" s="6" t="s">
        <v>763</v>
      </c>
      <c r="D24" s="6" t="s">
        <v>905</v>
      </c>
      <c r="E24" s="6" t="s">
        <v>906</v>
      </c>
      <c r="F24" s="6" t="s">
        <v>907</v>
      </c>
      <c r="G24" s="6" t="s">
        <v>908</v>
      </c>
      <c r="H24" s="6" t="s">
        <v>426</v>
      </c>
      <c r="I24" s="6" t="s">
        <v>909</v>
      </c>
      <c r="J24" s="79" t="s">
        <v>910</v>
      </c>
    </row>
    <row r="25" customFormat="false" ht="23.85" hidden="false" customHeight="false" outlineLevel="0" collapsed="false">
      <c r="A25" s="6" t="s">
        <v>206</v>
      </c>
      <c r="B25" s="6" t="s">
        <v>911</v>
      </c>
      <c r="C25" s="6" t="s">
        <v>912</v>
      </c>
      <c r="D25" s="6" t="s">
        <v>913</v>
      </c>
      <c r="E25" s="6" t="s">
        <v>733</v>
      </c>
      <c r="F25" s="6" t="s">
        <v>733</v>
      </c>
      <c r="G25" s="6" t="s">
        <v>914</v>
      </c>
      <c r="H25" s="6" t="s">
        <v>426</v>
      </c>
      <c r="I25" s="6" t="s">
        <v>915</v>
      </c>
      <c r="J25" s="79" t="s">
        <v>916</v>
      </c>
    </row>
    <row r="26" customFormat="false" ht="23.85" hidden="false" customHeight="false" outlineLevel="0" collapsed="false">
      <c r="A26" s="6" t="s">
        <v>206</v>
      </c>
      <c r="B26" s="6" t="s">
        <v>405</v>
      </c>
      <c r="C26" s="6" t="s">
        <v>842</v>
      </c>
      <c r="D26" s="6" t="s">
        <v>917</v>
      </c>
      <c r="E26" s="6" t="s">
        <v>918</v>
      </c>
      <c r="F26" s="6" t="s">
        <v>817</v>
      </c>
      <c r="G26" s="6" t="s">
        <v>919</v>
      </c>
      <c r="H26" s="6" t="s">
        <v>920</v>
      </c>
      <c r="I26" s="6" t="s">
        <v>921</v>
      </c>
      <c r="J26" s="79" t="s">
        <v>408</v>
      </c>
    </row>
    <row r="27" customFormat="false" ht="23.85" hidden="false" customHeight="false" outlineLevel="0" collapsed="false">
      <c r="A27" s="6" t="s">
        <v>206</v>
      </c>
      <c r="B27" s="6" t="s">
        <v>828</v>
      </c>
      <c r="C27" s="6" t="s">
        <v>922</v>
      </c>
      <c r="D27" s="6" t="s">
        <v>923</v>
      </c>
      <c r="E27" s="6" t="s">
        <v>817</v>
      </c>
      <c r="F27" s="6" t="s">
        <v>817</v>
      </c>
      <c r="G27" s="6" t="s">
        <v>924</v>
      </c>
      <c r="H27" s="6" t="s">
        <v>925</v>
      </c>
      <c r="I27" s="6" t="s">
        <v>926</v>
      </c>
      <c r="J27" s="79" t="s">
        <v>927</v>
      </c>
    </row>
    <row r="28" customFormat="false" ht="23.85" hidden="false" customHeight="false" outlineLevel="0" collapsed="false">
      <c r="A28" s="6" t="s">
        <v>206</v>
      </c>
      <c r="B28" s="6" t="s">
        <v>928</v>
      </c>
      <c r="C28" s="6" t="s">
        <v>426</v>
      </c>
      <c r="D28" s="6" t="s">
        <v>929</v>
      </c>
      <c r="E28" s="6" t="s">
        <v>426</v>
      </c>
      <c r="F28" s="6" t="s">
        <v>817</v>
      </c>
      <c r="G28" s="6" t="s">
        <v>426</v>
      </c>
      <c r="H28" s="6" t="s">
        <v>426</v>
      </c>
      <c r="I28" s="6" t="s">
        <v>930</v>
      </c>
      <c r="J28" s="6"/>
    </row>
  </sheetData>
  <hyperlinks>
    <hyperlink ref="J5" r:id="rId1" display="https://www.burchbottle.com/6oz-Amber-Straight-Sided-Jar-63-400"/>
    <hyperlink ref="J6" r:id="rId2" display="https://www.fillmorecontainer.com/6-oz-amber-straight-sided-jar-case-of-12.html"/>
    <hyperlink ref="J7" r:id="rId3" display="https://daspacking.en.made-in-china.com/product/CdRGEuVYJmpN/China-Wholesale-2oz-4oz-8oz-60g-120g-250g-Frosted-Clear-Amber-Airtight-Straight-Sided-Round-Face-Cosmetic-Cream-Candle-Glass-Jar-and-Container-with-Lids.html"/>
    <hyperlink ref="J8" r:id="rId4" display="https://www.containerandpackaging.com/products/glass-straight-sided-jar/g850am/"/>
    <hyperlink ref="J9" r:id="rId5" display="https://www.richardspackaging.com/products/9-oz-amber-glass-straight-sided-jar-70-400-12-rp-1001a"/>
    <hyperlink ref="J10" r:id="rId6" display="https://www.uline.ca/Product/Detail/S-24533"/>
    <hyperlink ref="J11" r:id="rId7" display="https://www.sks-bottle.com/product/305037.html"/>
    <hyperlink ref="J12" r:id="rId8" display="https://www.specialtybottle.com/glass-jars/amber-straight-sided/4oz-salv4a"/>
    <hyperlink ref="J13" r:id="rId9" display="https://thebottledepot.co/collections/amber-glass-jars"/>
    <hyperlink ref="J14" r:id="rId10" display="https://www.berlinpackaging.com/5001b55-b-4-oz-amber-glass-straight-sided-squat-jars-cap-not-included/"/>
    <hyperlink ref="J15" r:id="rId11" display="https://www.oberk.com/product-spotlight/amber-straight-side-jars"/>
    <hyperlink ref="J16" r:id="rId12" display="https://shop.qorpak.com/products/260300/4-oz-amber-gl-ty-iii-straight-sided-jars-58-400-24-cs-260300/"/>
    <hyperlink ref="J17" r:id="rId13" display="https://www.voyageursoapandcandle.com/products/8-oz-amber-glass-jar-with-70-400-neck-1"/>
    <hyperlink ref="J18" r:id="rId14" display="https://www.bottlestore.com/8oz-amber-glass-straight-sided-jar-70-405-neck-finish-24-pack.html"/>
    <hyperlink ref="J19" r:id="rId15" display="https://www.alibaba.com/product-detail/120ml-150ml-180ml-250ml-Health-Dietary_1601702419322.html"/>
    <hyperlink ref="J20" r:id="rId16" display="https://daspacking.en.made-in-china.com/product/CdRGEuVYJmpN/China-Wholesale-2oz-4oz-8oz-60g-120g-250g-Frosted-Clear-Amber-Airtight-Straight-Sided-Round-Face-Cosmetic-Cream-Candle-Glass-Jar-and-Container-with-Lids.html"/>
    <hyperlink ref="J21" r:id="rId17" display="https://www.stanpacnet.com/glass-container-printing/"/>
    <hyperlink ref="J22" r:id="rId18" display="https://www.fillmorecontainer.com/faqs/"/>
    <hyperlink ref="J23" r:id="rId19" display="https://www.liquidbottles.com/products/4738/9oz-Frosted-Amber-Glass-Jar-70-400-Neck-Finish-72cs"/>
    <hyperlink ref="J24" r:id="rId20" display="https://jx-forever.en.made-in-china.com/product/kxBpcQfVviWg/China-Wholesale-4oz-7oz-8oz-Luxury-Clear-Amber-Frosted-Glass-Cosmetic-Jar.html"/>
    <hyperlink ref="J25" r:id="rId21" display="https://www.berlinpackaging.com/custom-decorating-services"/>
    <hyperlink ref="J26" r:id="rId22" display="https://thebottledepot.co/products/4-oz-amber-frosted-glass-straight-sided-round-jar-58-400-neck-finish"/>
    <hyperlink ref="J27" r:id="rId23" display="https://www.sks-bottle.com/product/10768.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20"/>
  </cols>
  <sheetData>
    <row r="1" customFormat="false" ht="17.35" hidden="false" customHeight="false" outlineLevel="0" collapsed="false">
      <c r="A1" s="1" t="s">
        <v>931</v>
      </c>
    </row>
    <row r="3" customFormat="false" ht="15" hidden="false" customHeight="false" outlineLevel="0" collapsed="false">
      <c r="A3" s="44" t="s">
        <v>932</v>
      </c>
      <c r="B3" s="44" t="s">
        <v>933</v>
      </c>
      <c r="C3" s="44" t="s">
        <v>934</v>
      </c>
    </row>
    <row r="4" customFormat="false" ht="42" hidden="false" customHeight="true" outlineLevel="0" collapsed="false">
      <c r="A4" s="21" t="s">
        <v>217</v>
      </c>
      <c r="B4" s="6" t="s">
        <v>935</v>
      </c>
      <c r="C4" s="6" t="s">
        <v>936</v>
      </c>
    </row>
    <row r="5" customFormat="false" ht="42" hidden="false" customHeight="true" outlineLevel="0" collapsed="false">
      <c r="A5" s="21" t="s">
        <v>220</v>
      </c>
      <c r="B5" s="6" t="s">
        <v>937</v>
      </c>
      <c r="C5" s="6" t="s">
        <v>938</v>
      </c>
    </row>
    <row r="6" customFormat="false" ht="42" hidden="false" customHeight="true" outlineLevel="0" collapsed="false">
      <c r="A6" s="21" t="s">
        <v>223</v>
      </c>
      <c r="B6" s="6" t="s">
        <v>937</v>
      </c>
      <c r="C6" s="6" t="s">
        <v>939</v>
      </c>
    </row>
    <row r="7" customFormat="false" ht="42" hidden="false" customHeight="true" outlineLevel="0" collapsed="false">
      <c r="A7" s="21" t="s">
        <v>226</v>
      </c>
      <c r="B7" s="6" t="s">
        <v>937</v>
      </c>
      <c r="C7" s="6" t="s">
        <v>940</v>
      </c>
    </row>
    <row r="8" customFormat="false" ht="42" hidden="false" customHeight="true" outlineLevel="0" collapsed="false">
      <c r="A8" s="21" t="s">
        <v>941</v>
      </c>
      <c r="B8" s="6" t="s">
        <v>937</v>
      </c>
      <c r="C8" s="6" t="s">
        <v>942</v>
      </c>
    </row>
    <row r="9" customFormat="false" ht="42" hidden="false" customHeight="true" outlineLevel="0" collapsed="false">
      <c r="A9" s="21" t="s">
        <v>943</v>
      </c>
      <c r="B9" s="6" t="s">
        <v>944</v>
      </c>
      <c r="C9" s="6" t="s">
        <v>945</v>
      </c>
    </row>
    <row r="10" customFormat="false" ht="42" hidden="false" customHeight="true" outlineLevel="0" collapsed="false">
      <c r="A10" s="21" t="s">
        <v>946</v>
      </c>
      <c r="B10" s="6" t="s">
        <v>947</v>
      </c>
      <c r="C10" s="6" t="s">
        <v>948</v>
      </c>
    </row>
    <row r="11" customFormat="false" ht="42" hidden="false" customHeight="true" outlineLevel="0" collapsed="false">
      <c r="A11" s="21" t="s">
        <v>949</v>
      </c>
      <c r="B11" s="6" t="s">
        <v>950</v>
      </c>
      <c r="C11" s="6" t="s">
        <v>951</v>
      </c>
    </row>
    <row r="13" customFormat="false" ht="15" hidden="false" customHeight="false" outlineLevel="0" collapsed="false">
      <c r="A13" s="17" t="s">
        <v>952</v>
      </c>
    </row>
    <row r="14" customFormat="false" ht="30" hidden="false" customHeight="true" outlineLevel="0" collapsed="false">
      <c r="A14" s="80" t="s">
        <v>953</v>
      </c>
      <c r="B14" s="80"/>
      <c r="C14" s="80"/>
    </row>
    <row r="15" customFormat="false" ht="30" hidden="false" customHeight="true" outlineLevel="0" collapsed="false">
      <c r="A15" s="80" t="s">
        <v>954</v>
      </c>
      <c r="B15" s="80"/>
      <c r="C15" s="80"/>
    </row>
    <row r="16" customFormat="false" ht="30" hidden="false" customHeight="true" outlineLevel="0" collapsed="false">
      <c r="A16" s="80" t="s">
        <v>955</v>
      </c>
      <c r="B16" s="80"/>
      <c r="C16" s="80"/>
    </row>
    <row r="17" customFormat="false" ht="30" hidden="false" customHeight="true" outlineLevel="0" collapsed="false">
      <c r="A17" s="80" t="s">
        <v>956</v>
      </c>
      <c r="B17" s="80"/>
      <c r="C17" s="80"/>
    </row>
  </sheetData>
  <mergeCells count="4">
    <mergeCell ref="A14:C14"/>
    <mergeCell ref="A15:C15"/>
    <mergeCell ref="A16:C16"/>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2026-10-11T14:52:02Z</dcterms:created>
  <dc:creator>openpyxl</dc:creator>
  <dc:description/>
  <dc:language>en-US</dc:language>
  <cp:lastModifiedBy/>
  <dcterms:modified xsi:type="dcterms:W3CDTF">2026-10-11T14:52:02Z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